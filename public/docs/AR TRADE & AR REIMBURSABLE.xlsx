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t\Desktop\FOR ERP\"/>
    </mc:Choice>
  </mc:AlternateContent>
  <xr:revisionPtr revIDLastSave="0" documentId="13_ncr:1_{DBEC0946-0090-473B-8864-43C30A8C5886}" xr6:coauthVersionLast="36" xr6:coauthVersionMax="36" xr10:uidLastSave="{00000000-0000-0000-0000-000000000000}"/>
  <bookViews>
    <workbookView xWindow="0" yWindow="0" windowWidth="28800" windowHeight="12105" xr2:uid="{EF9FF456-F1CD-4F8B-A944-CAC2B05A4F42}"/>
  </bookViews>
  <sheets>
    <sheet name="AR-TRADE" sheetId="5" r:id="rId1"/>
    <sheet name="AR-REIM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5" i="5" l="1"/>
  <c r="G8" i="6" l="1"/>
  <c r="G7" i="6"/>
  <c r="G120" i="6" s="1"/>
  <c r="G8" i="5"/>
  <c r="G7" i="5"/>
  <c r="G138" i="5" l="1"/>
  <c r="G144" i="5" s="1"/>
  <c r="G146" i="5" s="1"/>
</calcChain>
</file>

<file path=xl/sharedStrings.xml><?xml version="1.0" encoding="utf-8"?>
<sst xmlns="http://schemas.openxmlformats.org/spreadsheetml/2006/main" count="1296" uniqueCount="294">
  <si>
    <t>Date</t>
  </si>
  <si>
    <t>3 KINGS EXPORT</t>
  </si>
  <si>
    <t>ADAMPAK &amp; PRINT (PHILS.), INC.</t>
  </si>
  <si>
    <t>ALLEN SPECIALTY PRODUCTS COMPANY</t>
  </si>
  <si>
    <t>7103</t>
  </si>
  <si>
    <t>7156</t>
  </si>
  <si>
    <t>7184</t>
  </si>
  <si>
    <t>7217</t>
  </si>
  <si>
    <t>7218</t>
  </si>
  <si>
    <t>7264</t>
  </si>
  <si>
    <t>ANASTACIO CERAMICS INC.</t>
  </si>
  <si>
    <t>7205</t>
  </si>
  <si>
    <t>APOLLO LENS MANUFACTURING PHILIPINES INC.</t>
  </si>
  <si>
    <t>ASA  COLOR &amp; CHEMICAL INDUSTRIES INC.</t>
  </si>
  <si>
    <t>ASA COLOR TRADING CORPORATION</t>
  </si>
  <si>
    <t>7254</t>
  </si>
  <si>
    <t>7269</t>
  </si>
  <si>
    <t>7279</t>
  </si>
  <si>
    <t>ASO PHILIPPINES, INC.</t>
  </si>
  <si>
    <t>AXELUM RESOURCES CORP</t>
  </si>
  <si>
    <t>BRAVO WORLD INC.</t>
  </si>
  <si>
    <t>CEDRIC INC</t>
  </si>
  <si>
    <t>CENTURY PACIFIC AGRICULTURAL VENTURES INC</t>
  </si>
  <si>
    <t>CSM PHILIPPINES INC.</t>
  </si>
  <si>
    <t>D'ITERSON DESIGNS INCORPORATED</t>
  </si>
  <si>
    <t>DAAS AND SERVICE CO., INC.</t>
  </si>
  <si>
    <t>7246</t>
  </si>
  <si>
    <t>DAAS AND VERNICI CORP.</t>
  </si>
  <si>
    <t>FIRMA PRESIDIO MANILA, INC.</t>
  </si>
  <si>
    <t>7263</t>
  </si>
  <si>
    <t>GOLDEN CROWN PETALS AND HERBS</t>
  </si>
  <si>
    <t>HATANO FOOD SERVICES</t>
  </si>
  <si>
    <t>HEINEN IMPORT AND EXPORT (HEINIMEX)CORP</t>
  </si>
  <si>
    <t>00050</t>
  </si>
  <si>
    <t>00051</t>
  </si>
  <si>
    <t>HYDE SAILS CEBU, INC.</t>
  </si>
  <si>
    <t>7249</t>
  </si>
  <si>
    <t>KEA INTERNATIONAL</t>
  </si>
  <si>
    <t>MAYSTAR COMPANY</t>
  </si>
  <si>
    <t>MCC LABELS (MANILA) PHILIPPINES INC.</t>
  </si>
  <si>
    <t>MEGAION CORPORATION</t>
  </si>
  <si>
    <t>MI COMPANIA PAVORITO CORP.</t>
  </si>
  <si>
    <t>MK THEMED ATTRACTIONS PHILIPPINES INC.</t>
  </si>
  <si>
    <t>MORE THAN A CHAIR INC</t>
  </si>
  <si>
    <t>7082</t>
  </si>
  <si>
    <t>MOTO LUBRICANT AND POWER SERVICES, INC.</t>
  </si>
  <si>
    <t>7231</t>
  </si>
  <si>
    <t>7236</t>
  </si>
  <si>
    <t>7250</t>
  </si>
  <si>
    <t>7271</t>
  </si>
  <si>
    <t>7284</t>
  </si>
  <si>
    <t>PHILUSA CORPORATION</t>
  </si>
  <si>
    <t>PROTHEME GLOBAL INC</t>
  </si>
  <si>
    <t>7245</t>
  </si>
  <si>
    <t>SHELL ARTS CO., INC.</t>
  </si>
  <si>
    <t>SOUTH SEA VENEER CORP</t>
  </si>
  <si>
    <t>7202</t>
  </si>
  <si>
    <t>TASTEXPERTS INC.</t>
  </si>
  <si>
    <t>THEMEBUILDERS PHILS INC</t>
  </si>
  <si>
    <t>2341</t>
  </si>
  <si>
    <t>2453</t>
  </si>
  <si>
    <t>2647</t>
  </si>
  <si>
    <t>2753</t>
  </si>
  <si>
    <t>2197</t>
  </si>
  <si>
    <t>2208</t>
  </si>
  <si>
    <t>2338</t>
  </si>
  <si>
    <t>2340</t>
  </si>
  <si>
    <t>VASACRAFTS COMPANY INC</t>
  </si>
  <si>
    <t>6527</t>
  </si>
  <si>
    <t>VULCAN RESOURCES INC</t>
  </si>
  <si>
    <t>YAKIYAKI ICM BOHOL</t>
  </si>
  <si>
    <t>WOVEN FURNITURES DESIGN, INC.</t>
  </si>
  <si>
    <t>BILLING INVOICE</t>
  </si>
  <si>
    <t>SOA B</t>
  </si>
  <si>
    <t>A/R TRADE</t>
  </si>
  <si>
    <t>A/R REIMBURSABLE CHARGES</t>
  </si>
  <si>
    <t xml:space="preserve">PHILIPPINE LIGHT LEATHER INC. </t>
  </si>
  <si>
    <t>SHTC PAPER PRODUCTS TRADING</t>
  </si>
  <si>
    <t>MANILA</t>
  </si>
  <si>
    <t>CEBU</t>
  </si>
  <si>
    <t>PAMPANGA</t>
  </si>
  <si>
    <t>BI-0000186</t>
  </si>
  <si>
    <t>BI-0000187</t>
  </si>
  <si>
    <t>BI-0000190</t>
  </si>
  <si>
    <t>BI-0000170</t>
  </si>
  <si>
    <t>BI-0000172</t>
  </si>
  <si>
    <t>BI-0000174</t>
  </si>
  <si>
    <t>BI-0000175</t>
  </si>
  <si>
    <t>BI-0000176</t>
  </si>
  <si>
    <t>BI-0000178</t>
  </si>
  <si>
    <t>BI-0000179</t>
  </si>
  <si>
    <t>BI-0000181</t>
  </si>
  <si>
    <t>BI-0000182</t>
  </si>
  <si>
    <t>BI-0000183</t>
  </si>
  <si>
    <t>BI-0000184</t>
  </si>
  <si>
    <t>BI-0000185</t>
  </si>
  <si>
    <t>BI-0000188</t>
  </si>
  <si>
    <t>BI-0000189</t>
  </si>
  <si>
    <t>BI-0000192</t>
  </si>
  <si>
    <t>BI-0000193</t>
  </si>
  <si>
    <t>BI-0000194</t>
  </si>
  <si>
    <t>BI-0000123</t>
  </si>
  <si>
    <t>BI-0000191</t>
  </si>
  <si>
    <t>BI-0001191</t>
  </si>
  <si>
    <t>BI-0001150</t>
  </si>
  <si>
    <t>BI-0000957</t>
  </si>
  <si>
    <t>BI-0001005</t>
  </si>
  <si>
    <t>BI-0001027</t>
  </si>
  <si>
    <t>BI-0001057</t>
  </si>
  <si>
    <t>BI-0001058</t>
  </si>
  <si>
    <t>BI-0001098</t>
  </si>
  <si>
    <t>BI-0001188</t>
  </si>
  <si>
    <t>BI-0001203</t>
  </si>
  <si>
    <t>BI-0001224</t>
  </si>
  <si>
    <t>BI-0001225</t>
  </si>
  <si>
    <t>BI-0001244</t>
  </si>
  <si>
    <t>BI-0001235</t>
  </si>
  <si>
    <t>BI-0001089</t>
  </si>
  <si>
    <t>BI-0001103</t>
  </si>
  <si>
    <t>BI-0001116</t>
  </si>
  <si>
    <t>BI-0001134</t>
  </si>
  <si>
    <t>BI-0001135</t>
  </si>
  <si>
    <t>BI-0001149</t>
  </si>
  <si>
    <t>BI-0001153</t>
  </si>
  <si>
    <t>BI-0001154</t>
  </si>
  <si>
    <t>BI-0001159</t>
  </si>
  <si>
    <t>BI-0001167</t>
  </si>
  <si>
    <t>BI-0001206</t>
  </si>
  <si>
    <t>BI-0001214</t>
  </si>
  <si>
    <t>BI-0001183</t>
  </si>
  <si>
    <t>7364</t>
  </si>
  <si>
    <t>BI-0001190</t>
  </si>
  <si>
    <t>BI-0001243</t>
  </si>
  <si>
    <t>BI-0001202</t>
  </si>
  <si>
    <t>BI-0001230</t>
  </si>
  <si>
    <t>BI-0001179</t>
  </si>
  <si>
    <t>BI-0001180</t>
  </si>
  <si>
    <t>BI-0001236</t>
  </si>
  <si>
    <t>BI-0001237</t>
  </si>
  <si>
    <t>BI-0001238</t>
  </si>
  <si>
    <t>BI-0001229</t>
  </si>
  <si>
    <t>BI-0001219</t>
  </si>
  <si>
    <t>BI-0001081</t>
  </si>
  <si>
    <t>BI-0001233</t>
  </si>
  <si>
    <t>BI-0001141</t>
  </si>
  <si>
    <t>BI-0001184</t>
  </si>
  <si>
    <t>BI-0001097</t>
  </si>
  <si>
    <t>BI-0001240</t>
  </si>
  <si>
    <t>BI-0001232</t>
  </si>
  <si>
    <t>BI-0001166</t>
  </si>
  <si>
    <t>BI-0001204</t>
  </si>
  <si>
    <t>BI-0001215</t>
  </si>
  <si>
    <t>BI-0001231</t>
  </si>
  <si>
    <t>BI-0001242</t>
  </si>
  <si>
    <t>BI-0001205</t>
  </si>
  <si>
    <t>BI-0001181</t>
  </si>
  <si>
    <t>BI-0001207</t>
  </si>
  <si>
    <t>BI-0001227</t>
  </si>
  <si>
    <t>BI-0001223</t>
  </si>
  <si>
    <t>BI-0001216</t>
  </si>
  <si>
    <t>BI-0001026</t>
  </si>
  <si>
    <t>BI-0001062</t>
  </si>
  <si>
    <t>BI-0001029</t>
  </si>
  <si>
    <t>BI-0001034</t>
  </si>
  <si>
    <t>BI-0001105</t>
  </si>
  <si>
    <t>BI-0001239</t>
  </si>
  <si>
    <t>BI-0001140</t>
  </si>
  <si>
    <t>BI-0001176</t>
  </si>
  <si>
    <t>BI-0001177</t>
  </si>
  <si>
    <t>BI-0001197</t>
  </si>
  <si>
    <t>BI-0001209</t>
  </si>
  <si>
    <t>BI-0001217</t>
  </si>
  <si>
    <t>BI-0001234</t>
  </si>
  <si>
    <t>BI-0001210</t>
  </si>
  <si>
    <t>BI-0001228</t>
  </si>
  <si>
    <t>BI-0000577</t>
  </si>
  <si>
    <t>BI-0000613</t>
  </si>
  <si>
    <t>BI-0000628</t>
  </si>
  <si>
    <t>BI-0000645</t>
  </si>
  <si>
    <t>BI-0000646</t>
  </si>
  <si>
    <t>BI-0000647</t>
  </si>
  <si>
    <t>BI-0000643</t>
  </si>
  <si>
    <t>BI-0000644</t>
  </si>
  <si>
    <t>BI-0000651</t>
  </si>
  <si>
    <t>BI-0000652</t>
  </si>
  <si>
    <t>BI-0000649</t>
  </si>
  <si>
    <t>BI-0000624</t>
  </si>
  <si>
    <t>BI-0000650</t>
  </si>
  <si>
    <t>BI-0000606</t>
  </si>
  <si>
    <t>BI-0000607</t>
  </si>
  <si>
    <t>BI-0000611</t>
  </si>
  <si>
    <t>BI-0000612</t>
  </si>
  <si>
    <t>BI-0000616</t>
  </si>
  <si>
    <t>BI-0000618</t>
  </si>
  <si>
    <t>BI-0000638</t>
  </si>
  <si>
    <t>BI-0000653</t>
  </si>
  <si>
    <t>BI-0000584</t>
  </si>
  <si>
    <t>BI-0000601</t>
  </si>
  <si>
    <t>BI-0000614</t>
  </si>
  <si>
    <t>BI-0000615</t>
  </si>
  <si>
    <t>BI-0000617</t>
  </si>
  <si>
    <t>BI-0000631</t>
  </si>
  <si>
    <t>BI-0000600</t>
  </si>
  <si>
    <t>BI-12053</t>
  </si>
  <si>
    <t>BI-12441</t>
  </si>
  <si>
    <t>BI-12574</t>
  </si>
  <si>
    <t>BI-11882</t>
  </si>
  <si>
    <t>BI-11896</t>
  </si>
  <si>
    <t>BI-12050</t>
  </si>
  <si>
    <t>BI-12052</t>
  </si>
  <si>
    <t>BI-0000619</t>
  </si>
  <si>
    <t>BRANCH</t>
  </si>
  <si>
    <t>ACCOUNT TYPE</t>
  </si>
  <si>
    <t>CUSTOMER NAME</t>
  </si>
  <si>
    <t>NUMBER</t>
  </si>
  <si>
    <t>OPENING BALANCE</t>
  </si>
  <si>
    <t>BI-0001241</t>
  </si>
  <si>
    <t>BI-0000629</t>
  </si>
  <si>
    <t>0010</t>
  </si>
  <si>
    <t>0011</t>
  </si>
  <si>
    <t>0002</t>
  </si>
  <si>
    <t>0003</t>
  </si>
  <si>
    <t>0005</t>
  </si>
  <si>
    <t>0006</t>
  </si>
  <si>
    <t>0007</t>
  </si>
  <si>
    <t>0008</t>
  </si>
  <si>
    <t>0009</t>
  </si>
  <si>
    <t>0012</t>
  </si>
  <si>
    <t>0013</t>
  </si>
  <si>
    <t>0015</t>
  </si>
  <si>
    <t>0016</t>
  </si>
  <si>
    <t>0017</t>
  </si>
  <si>
    <t>0014</t>
  </si>
  <si>
    <t>7332</t>
  </si>
  <si>
    <t>7303</t>
  </si>
  <si>
    <t>7330</t>
  </si>
  <si>
    <t>7337</t>
  </si>
  <si>
    <t>7354</t>
  </si>
  <si>
    <t>7355</t>
  </si>
  <si>
    <t>7367</t>
  </si>
  <si>
    <t>7363</t>
  </si>
  <si>
    <t>7295</t>
  </si>
  <si>
    <t>7296</t>
  </si>
  <si>
    <t>7302</t>
  </si>
  <si>
    <t>7305</t>
  </si>
  <si>
    <t>7306</t>
  </si>
  <si>
    <t>7310</t>
  </si>
  <si>
    <t>7315</t>
  </si>
  <si>
    <t>7341</t>
  </si>
  <si>
    <t>7344</t>
  </si>
  <si>
    <t>7325</t>
  </si>
  <si>
    <t>7331</t>
  </si>
  <si>
    <t>7366</t>
  </si>
  <si>
    <t>7336</t>
  </si>
  <si>
    <t>7359</t>
  </si>
  <si>
    <t>7358</t>
  </si>
  <si>
    <t>7352</t>
  </si>
  <si>
    <t>7362</t>
  </si>
  <si>
    <t xml:space="preserve"> 7289</t>
  </si>
  <si>
    <t>7326</t>
  </si>
  <si>
    <t>7361</t>
  </si>
  <si>
    <t>7314</t>
  </si>
  <si>
    <t>7338</t>
  </si>
  <si>
    <t>7345</t>
  </si>
  <si>
    <t>7356</t>
  </si>
  <si>
    <t>7360</t>
  </si>
  <si>
    <t>7365</t>
  </si>
  <si>
    <t>7340</t>
  </si>
  <si>
    <t>7323</t>
  </si>
  <si>
    <t>7342</t>
  </si>
  <si>
    <t>7357</t>
  </si>
  <si>
    <t>7351</t>
  </si>
  <si>
    <t>7346</t>
  </si>
  <si>
    <t>0028</t>
  </si>
  <si>
    <t>0045</t>
  </si>
  <si>
    <t>0046</t>
  </si>
  <si>
    <t>0047</t>
  </si>
  <si>
    <t>0042</t>
  </si>
  <si>
    <t>0044</t>
  </si>
  <si>
    <t>0048</t>
  </si>
  <si>
    <t>0024</t>
  </si>
  <si>
    <t>0049</t>
  </si>
  <si>
    <t>0037</t>
  </si>
  <si>
    <t>0052</t>
  </si>
  <si>
    <t>0031</t>
  </si>
  <si>
    <t>0018</t>
  </si>
  <si>
    <t>BI-0000623</t>
  </si>
  <si>
    <t>BI-0000632</t>
  </si>
  <si>
    <t>BI-0000634</t>
  </si>
  <si>
    <t>0029</t>
  </si>
  <si>
    <t>0023</t>
  </si>
  <si>
    <t>0020</t>
  </si>
  <si>
    <t>0032</t>
  </si>
  <si>
    <t>MUST BE IN DOLLAR IF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</si>
</sst>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3409]dd\-mmm\-yy;@"/>
    <numFmt numFmtId="166" formatCode="[$-409]d\-mmm\-yy;@"/>
    <numFmt numFmtId="171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23232"/>
      <name val="Calibri"/>
      <family val="2"/>
      <scheme val="minor"/>
    </font>
    <font>
      <sz val="10"/>
      <color rgb="FF323232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323232"/>
      <name val="Calibri"/>
      <family val="2"/>
      <scheme val="minor"/>
    </font>
    <font>
      <b/>
      <sz val="8"/>
      <color rgb="FFFF0000"/>
      <name val="Arial"/>
      <family val="2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sz val="9"/>
      <color rgb="FF7030A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sz val="9"/>
      <color theme="7" tint="-0.499984740745262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/>
    <xf numFmtId="49" fontId="6" fillId="0" borderId="0" xfId="0" applyNumberFormat="1" applyFont="1"/>
    <xf numFmtId="164" fontId="6" fillId="0" borderId="0" xfId="2" applyFont="1" applyBorder="1"/>
    <xf numFmtId="0" fontId="4" fillId="0" borderId="0" xfId="0" applyNumberFormat="1" applyFont="1"/>
    <xf numFmtId="0" fontId="0" fillId="0" borderId="0" xfId="0" applyNumberFormat="1"/>
    <xf numFmtId="0" fontId="0" fillId="0" borderId="0" xfId="0" applyNumberFormat="1" applyAlignment="1"/>
    <xf numFmtId="14" fontId="5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66" fontId="5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4" fontId="5" fillId="0" borderId="0" xfId="2" applyFont="1" applyBorder="1"/>
    <xf numFmtId="164" fontId="7" fillId="0" borderId="0" xfId="2" applyFont="1" applyBorder="1"/>
    <xf numFmtId="164" fontId="0" fillId="0" borderId="0" xfId="2" applyFont="1" applyBorder="1"/>
    <xf numFmtId="0" fontId="2" fillId="0" borderId="0" xfId="0" applyFont="1"/>
    <xf numFmtId="49" fontId="7" fillId="0" borderId="0" xfId="0" applyNumberFormat="1" applyFont="1"/>
    <xf numFmtId="166" fontId="7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166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/>
    <xf numFmtId="164" fontId="9" fillId="0" borderId="1" xfId="2" applyFont="1" applyBorder="1" applyAlignment="1">
      <alignment horizontal="center"/>
    </xf>
    <xf numFmtId="164" fontId="3" fillId="0" borderId="1" xfId="2" applyFont="1" applyBorder="1"/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/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12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center"/>
    </xf>
    <xf numFmtId="49" fontId="12" fillId="0" borderId="0" xfId="0" applyNumberFormat="1" applyFont="1" applyAlignment="1"/>
    <xf numFmtId="43" fontId="12" fillId="0" borderId="0" xfId="1" applyFont="1" applyBorder="1"/>
    <xf numFmtId="165" fontId="12" fillId="0" borderId="0" xfId="0" applyNumberFormat="1" applyFont="1" applyFill="1" applyAlignment="1">
      <alignment horizontal="left"/>
    </xf>
    <xf numFmtId="166" fontId="12" fillId="0" borderId="0" xfId="0" applyNumberFormat="1" applyFont="1" applyFill="1" applyAlignment="1">
      <alignment horizontal="center"/>
    </xf>
    <xf numFmtId="49" fontId="12" fillId="0" borderId="0" xfId="0" applyNumberFormat="1" applyFont="1" applyFill="1" applyAlignment="1">
      <alignment horizontal="left"/>
    </xf>
    <xf numFmtId="164" fontId="12" fillId="0" borderId="0" xfId="2" applyFont="1" applyBorder="1"/>
    <xf numFmtId="165" fontId="12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39" fontId="12" fillId="0" borderId="0" xfId="0" applyNumberFormat="1" applyFont="1" applyBorder="1"/>
    <xf numFmtId="0" fontId="13" fillId="0" borderId="0" xfId="0" applyFont="1"/>
    <xf numFmtId="49" fontId="14" fillId="0" borderId="0" xfId="0" applyNumberFormat="1" applyFont="1"/>
    <xf numFmtId="14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center"/>
    </xf>
    <xf numFmtId="49" fontId="14" fillId="0" borderId="0" xfId="0" applyNumberFormat="1" applyFont="1" applyAlignment="1"/>
    <xf numFmtId="164" fontId="14" fillId="0" borderId="0" xfId="2" applyFont="1" applyBorder="1"/>
    <xf numFmtId="0" fontId="15" fillId="0" borderId="0" xfId="0" applyFont="1"/>
    <xf numFmtId="165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39" fontId="14" fillId="0" borderId="0" xfId="0" applyNumberFormat="1" applyFont="1" applyBorder="1"/>
    <xf numFmtId="0" fontId="16" fillId="0" borderId="0" xfId="0" applyFont="1"/>
    <xf numFmtId="49" fontId="17" fillId="0" borderId="0" xfId="0" applyNumberFormat="1" applyFont="1"/>
    <xf numFmtId="14" fontId="17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center"/>
    </xf>
    <xf numFmtId="49" fontId="17" fillId="0" borderId="0" xfId="0" applyNumberFormat="1" applyFont="1" applyAlignment="1"/>
    <xf numFmtId="164" fontId="17" fillId="0" borderId="0" xfId="2" applyFont="1" applyBorder="1"/>
    <xf numFmtId="0" fontId="18" fillId="0" borderId="0" xfId="0" applyFont="1"/>
    <xf numFmtId="165" fontId="1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39" fontId="17" fillId="0" borderId="0" xfId="0" applyNumberFormat="1" applyFont="1" applyBorder="1"/>
    <xf numFmtId="43" fontId="0" fillId="0" borderId="0" xfId="0" applyNumberFormat="1"/>
    <xf numFmtId="43" fontId="12" fillId="0" borderId="0" xfId="1" applyFont="1" applyFill="1" applyBorder="1" applyAlignment="1">
      <alignment horizontal="center" vertical="center" wrapText="1"/>
    </xf>
    <xf numFmtId="49" fontId="19" fillId="0" borderId="0" xfId="0" applyNumberFormat="1" applyFont="1"/>
    <xf numFmtId="14" fontId="19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center"/>
    </xf>
    <xf numFmtId="164" fontId="19" fillId="0" borderId="0" xfId="2" applyFont="1" applyBorder="1"/>
    <xf numFmtId="165" fontId="19" fillId="0" borderId="0" xfId="0" applyNumberFormat="1" applyFont="1" applyAlignment="1">
      <alignment horizontal="left"/>
    </xf>
    <xf numFmtId="39" fontId="19" fillId="0" borderId="0" xfId="0" applyNumberFormat="1" applyFont="1" applyBorder="1"/>
    <xf numFmtId="0" fontId="4" fillId="0" borderId="0" xfId="0" applyFont="1"/>
    <xf numFmtId="0" fontId="7" fillId="0" borderId="0" xfId="0" applyFont="1"/>
    <xf numFmtId="0" fontId="12" fillId="0" borderId="0" xfId="0" applyFont="1"/>
    <xf numFmtId="0" fontId="14" fillId="0" borderId="0" xfId="0" applyFont="1"/>
    <xf numFmtId="0" fontId="19" fillId="0" borderId="0" xfId="0" applyFont="1"/>
    <xf numFmtId="164" fontId="4" fillId="0" borderId="1" xfId="2" applyFont="1" applyBorder="1"/>
    <xf numFmtId="164" fontId="4" fillId="0" borderId="0" xfId="2" applyFont="1" applyBorder="1"/>
    <xf numFmtId="49" fontId="9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8" fillId="0" borderId="0" xfId="0" applyFont="1"/>
    <xf numFmtId="171" fontId="8" fillId="0" borderId="0" xfId="0" applyNumberFormat="1" applyFont="1"/>
    <xf numFmtId="171" fontId="2" fillId="0" borderId="0" xfId="0" applyNumberFormat="1" applyFont="1"/>
    <xf numFmtId="171" fontId="7" fillId="0" borderId="0" xfId="0" applyNumberFormat="1" applyFont="1"/>
    <xf numFmtId="49" fontId="19" fillId="0" borderId="0" xfId="0" quotePrefix="1" applyNumberFormat="1" applyFont="1" applyAlignment="1">
      <alignment horizontal="center"/>
    </xf>
  </cellXfs>
  <cellStyles count="3">
    <cellStyle name="Comma" xfId="1" builtinId="3"/>
    <cellStyle name="Comma 46" xfId="2" xr:uid="{32EE2200-E68E-4638-B0AA-716224892E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BF71-E394-4491-8E76-8E0EBB44AABB}">
  <dimension ref="A1:S146"/>
  <sheetViews>
    <sheetView tabSelected="1" workbookViewId="0">
      <pane ySplit="1" topLeftCell="A2" activePane="bottomLeft" state="frozen"/>
      <selection pane="bottomLeft" activeCell="N6" sqref="N6:O7"/>
    </sheetView>
  </sheetViews>
  <sheetFormatPr defaultRowHeight="15" x14ac:dyDescent="0.25"/>
  <cols>
    <col min="2" max="2" width="14.7109375" style="7" bestFit="1" customWidth="1"/>
    <col min="3" max="3" width="13.85546875" style="12" bestFit="1" customWidth="1"/>
    <col min="4" max="4" width="9.85546875" style="16" bestFit="1" customWidth="1"/>
    <col min="5" max="5" width="38.42578125" style="12" bestFit="1" customWidth="1"/>
    <col min="6" max="6" width="10.140625" style="8" bestFit="1" customWidth="1"/>
    <col min="7" max="7" width="19.7109375" style="19" bestFit="1" customWidth="1"/>
    <col min="8" max="9" width="10.5703125" bestFit="1" customWidth="1"/>
    <col min="10" max="10" width="23" bestFit="1" customWidth="1"/>
  </cols>
  <sheetData>
    <row r="1" spans="1:15" s="1" customFormat="1" x14ac:dyDescent="0.25">
      <c r="A1" s="23" t="s">
        <v>211</v>
      </c>
      <c r="B1" s="24" t="s">
        <v>212</v>
      </c>
      <c r="C1" s="25"/>
      <c r="D1" s="26" t="s">
        <v>0</v>
      </c>
      <c r="E1" s="25" t="s">
        <v>213</v>
      </c>
      <c r="F1" s="27" t="s">
        <v>214</v>
      </c>
      <c r="G1" s="28" t="s">
        <v>215</v>
      </c>
    </row>
    <row r="2" spans="1:15" x14ac:dyDescent="0.25">
      <c r="B2" s="2"/>
      <c r="C2" s="9"/>
      <c r="D2" s="13"/>
      <c r="E2" s="9"/>
      <c r="F2" s="3"/>
      <c r="G2" s="17"/>
    </row>
    <row r="3" spans="1:15" s="33" customFormat="1" x14ac:dyDescent="0.25">
      <c r="A3" s="33" t="s">
        <v>79</v>
      </c>
      <c r="B3" s="34" t="s">
        <v>74</v>
      </c>
      <c r="C3" s="35" t="s">
        <v>72</v>
      </c>
      <c r="D3" s="36">
        <v>45952</v>
      </c>
      <c r="E3" s="35" t="s">
        <v>67</v>
      </c>
      <c r="F3" s="37" t="s">
        <v>101</v>
      </c>
      <c r="G3" s="42">
        <v>50052.75</v>
      </c>
    </row>
    <row r="4" spans="1:15" s="33" customFormat="1" x14ac:dyDescent="0.25">
      <c r="A4" s="33" t="s">
        <v>79</v>
      </c>
      <c r="B4" s="34" t="s">
        <v>74</v>
      </c>
      <c r="C4" s="35" t="s">
        <v>72</v>
      </c>
      <c r="D4" s="36">
        <v>46251</v>
      </c>
      <c r="E4" s="35" t="s">
        <v>18</v>
      </c>
      <c r="F4" s="37" t="s">
        <v>81</v>
      </c>
      <c r="G4" s="42">
        <v>29204</v>
      </c>
    </row>
    <row r="5" spans="1:15" s="33" customFormat="1" x14ac:dyDescent="0.25">
      <c r="A5" s="33" t="s">
        <v>79</v>
      </c>
      <c r="B5" s="34" t="s">
        <v>74</v>
      </c>
      <c r="C5" s="35" t="s">
        <v>72</v>
      </c>
      <c r="D5" s="36">
        <v>46251</v>
      </c>
      <c r="E5" s="35" t="s">
        <v>18</v>
      </c>
      <c r="F5" s="37" t="s">
        <v>82</v>
      </c>
      <c r="G5" s="42">
        <v>26754</v>
      </c>
    </row>
    <row r="6" spans="1:15" s="33" customFormat="1" x14ac:dyDescent="0.25">
      <c r="A6" s="33" t="s">
        <v>79</v>
      </c>
      <c r="B6" s="34" t="s">
        <v>74</v>
      </c>
      <c r="C6" s="35" t="s">
        <v>72</v>
      </c>
      <c r="D6" s="36">
        <v>46259</v>
      </c>
      <c r="E6" s="35" t="s">
        <v>20</v>
      </c>
      <c r="F6" s="37" t="s">
        <v>83</v>
      </c>
      <c r="G6" s="42">
        <v>18643.599999999999</v>
      </c>
    </row>
    <row r="7" spans="1:15" s="20" customFormat="1" x14ac:dyDescent="0.25">
      <c r="A7" s="33" t="s">
        <v>79</v>
      </c>
      <c r="B7" s="34" t="s">
        <v>74</v>
      </c>
      <c r="C7" s="35" t="s">
        <v>72</v>
      </c>
      <c r="D7" s="36">
        <v>46176</v>
      </c>
      <c r="E7" s="35" t="s">
        <v>76</v>
      </c>
      <c r="F7" s="37" t="s">
        <v>84</v>
      </c>
      <c r="G7" s="38">
        <f>766.26*61.2513</f>
        <v>46934.421137999998</v>
      </c>
      <c r="H7" s="90">
        <v>766.26</v>
      </c>
      <c r="I7" s="92">
        <v>61.251300000000001</v>
      </c>
      <c r="J7" s="75" t="s">
        <v>293</v>
      </c>
      <c r="K7" s="89"/>
      <c r="L7" s="89"/>
      <c r="M7" s="89"/>
      <c r="N7" s="89"/>
      <c r="O7" s="89"/>
    </row>
    <row r="8" spans="1:15" s="20" customFormat="1" x14ac:dyDescent="0.25">
      <c r="A8" s="33" t="s">
        <v>79</v>
      </c>
      <c r="B8" s="34" t="s">
        <v>74</v>
      </c>
      <c r="C8" s="35" t="s">
        <v>72</v>
      </c>
      <c r="D8" s="36">
        <v>46176</v>
      </c>
      <c r="E8" s="35" t="s">
        <v>76</v>
      </c>
      <c r="F8" s="37" t="s">
        <v>85</v>
      </c>
      <c r="G8" s="38">
        <f>128.62*61.2513</f>
        <v>7878.1422060000004</v>
      </c>
      <c r="H8" s="90">
        <v>128.62</v>
      </c>
      <c r="I8" s="92">
        <v>61.251300000000001</v>
      </c>
      <c r="J8" s="75" t="s">
        <v>293</v>
      </c>
      <c r="K8" s="89"/>
      <c r="L8" s="89"/>
      <c r="M8" s="89"/>
      <c r="N8" s="89"/>
      <c r="O8" s="89"/>
    </row>
    <row r="9" spans="1:15" s="20" customFormat="1" x14ac:dyDescent="0.25">
      <c r="A9" s="33" t="s">
        <v>79</v>
      </c>
      <c r="B9" s="34" t="s">
        <v>74</v>
      </c>
      <c r="C9" s="39" t="s">
        <v>72</v>
      </c>
      <c r="D9" s="40">
        <v>46184</v>
      </c>
      <c r="E9" s="39" t="s">
        <v>76</v>
      </c>
      <c r="F9" s="41" t="s">
        <v>86</v>
      </c>
      <c r="G9" s="38">
        <v>28957.164588</v>
      </c>
      <c r="H9" s="90">
        <v>472.76</v>
      </c>
      <c r="I9" s="92">
        <v>61.251300000000001</v>
      </c>
      <c r="J9" s="75" t="s">
        <v>293</v>
      </c>
      <c r="K9" s="89"/>
      <c r="L9" s="89"/>
      <c r="M9" s="89"/>
      <c r="N9" s="89"/>
      <c r="O9" s="89"/>
    </row>
    <row r="10" spans="1:15" s="20" customFormat="1" x14ac:dyDescent="0.25">
      <c r="A10" s="33" t="s">
        <v>79</v>
      </c>
      <c r="B10" s="34" t="s">
        <v>74</v>
      </c>
      <c r="C10" s="39" t="s">
        <v>72</v>
      </c>
      <c r="D10" s="40">
        <v>46198</v>
      </c>
      <c r="E10" s="39" t="s">
        <v>76</v>
      </c>
      <c r="F10" s="41" t="s">
        <v>87</v>
      </c>
      <c r="G10" s="38">
        <v>8729.5352760000005</v>
      </c>
      <c r="H10" s="90">
        <v>142.52000000000001</v>
      </c>
      <c r="I10" s="92">
        <v>61.251300000000001</v>
      </c>
      <c r="J10" s="75" t="s">
        <v>293</v>
      </c>
      <c r="K10" s="89"/>
      <c r="L10" s="89"/>
      <c r="M10" s="89"/>
      <c r="N10" s="89"/>
      <c r="O10" s="89"/>
    </row>
    <row r="11" spans="1:15" s="20" customFormat="1" x14ac:dyDescent="0.25">
      <c r="A11" s="33" t="s">
        <v>79</v>
      </c>
      <c r="B11" s="34" t="s">
        <v>74</v>
      </c>
      <c r="C11" s="39" t="s">
        <v>72</v>
      </c>
      <c r="D11" s="40">
        <v>46203</v>
      </c>
      <c r="E11" s="39" t="s">
        <v>76</v>
      </c>
      <c r="F11" s="41" t="s">
        <v>88</v>
      </c>
      <c r="G11" s="38">
        <v>14346.279485999999</v>
      </c>
      <c r="H11" s="90">
        <v>234.22</v>
      </c>
      <c r="I11" s="92">
        <v>61.251300000000001</v>
      </c>
      <c r="J11" s="75" t="s">
        <v>293</v>
      </c>
      <c r="K11" s="89"/>
      <c r="L11" s="89"/>
      <c r="M11" s="89"/>
      <c r="N11" s="89"/>
      <c r="O11" s="89"/>
    </row>
    <row r="12" spans="1:15" s="20" customFormat="1" x14ac:dyDescent="0.25">
      <c r="A12" s="33" t="s">
        <v>79</v>
      </c>
      <c r="B12" s="34" t="s">
        <v>74</v>
      </c>
      <c r="C12" s="39" t="s">
        <v>72</v>
      </c>
      <c r="D12" s="40">
        <v>46209</v>
      </c>
      <c r="E12" s="39" t="s">
        <v>76</v>
      </c>
      <c r="F12" s="41" t="s">
        <v>89</v>
      </c>
      <c r="G12" s="38">
        <v>46595.137097999999</v>
      </c>
      <c r="H12" s="90">
        <v>756.46</v>
      </c>
      <c r="I12" s="92">
        <v>61.596299999999999</v>
      </c>
      <c r="J12" s="75" t="s">
        <v>293</v>
      </c>
      <c r="K12" s="89"/>
      <c r="L12" s="89"/>
      <c r="M12" s="89"/>
      <c r="N12" s="89"/>
      <c r="O12" s="89"/>
    </row>
    <row r="13" spans="1:15" s="20" customFormat="1" x14ac:dyDescent="0.25">
      <c r="A13" s="33" t="s">
        <v>79</v>
      </c>
      <c r="B13" s="34" t="s">
        <v>74</v>
      </c>
      <c r="C13" s="39" t="s">
        <v>72</v>
      </c>
      <c r="D13" s="40">
        <v>46212</v>
      </c>
      <c r="E13" s="39" t="s">
        <v>76</v>
      </c>
      <c r="F13" s="41" t="s">
        <v>90</v>
      </c>
      <c r="G13" s="38">
        <v>15116.963946</v>
      </c>
      <c r="H13" s="90">
        <v>245.42</v>
      </c>
      <c r="I13" s="92">
        <v>61.596299999999999</v>
      </c>
      <c r="J13" s="75" t="s">
        <v>293</v>
      </c>
      <c r="K13" s="89"/>
      <c r="L13" s="89"/>
      <c r="M13" s="89"/>
      <c r="N13" s="89"/>
      <c r="O13" s="89"/>
    </row>
    <row r="14" spans="1:15" s="20" customFormat="1" x14ac:dyDescent="0.25">
      <c r="A14" s="33" t="s">
        <v>79</v>
      </c>
      <c r="B14" s="34" t="s">
        <v>74</v>
      </c>
      <c r="C14" s="39" t="s">
        <v>72</v>
      </c>
      <c r="D14" s="40">
        <v>46218</v>
      </c>
      <c r="E14" s="39" t="s">
        <v>76</v>
      </c>
      <c r="F14" s="41" t="s">
        <v>91</v>
      </c>
      <c r="G14" s="38">
        <v>12034.685094</v>
      </c>
      <c r="H14" s="90">
        <v>195.38</v>
      </c>
      <c r="I14" s="92">
        <v>61.596299999999999</v>
      </c>
      <c r="J14" s="75" t="s">
        <v>293</v>
      </c>
      <c r="K14" s="89"/>
      <c r="L14" s="89"/>
      <c r="M14" s="89"/>
      <c r="N14" s="89"/>
      <c r="O14" s="89"/>
    </row>
    <row r="15" spans="1:15" s="20" customFormat="1" x14ac:dyDescent="0.25">
      <c r="A15" s="33" t="s">
        <v>79</v>
      </c>
      <c r="B15" s="34" t="s">
        <v>74</v>
      </c>
      <c r="C15" s="39" t="s">
        <v>72</v>
      </c>
      <c r="D15" s="40">
        <v>46226</v>
      </c>
      <c r="E15" s="39" t="s">
        <v>76</v>
      </c>
      <c r="F15" s="41" t="s">
        <v>92</v>
      </c>
      <c r="G15" s="38">
        <v>9166.7613659999988</v>
      </c>
      <c r="H15" s="90">
        <v>148.82</v>
      </c>
      <c r="I15" s="92">
        <v>61.596299999999999</v>
      </c>
      <c r="J15" s="75" t="s">
        <v>293</v>
      </c>
      <c r="K15" s="89"/>
      <c r="L15" s="89"/>
      <c r="M15" s="89"/>
      <c r="N15" s="89"/>
      <c r="O15" s="89"/>
    </row>
    <row r="16" spans="1:15" s="20" customFormat="1" x14ac:dyDescent="0.25">
      <c r="A16" s="33" t="s">
        <v>79</v>
      </c>
      <c r="B16" s="34" t="s">
        <v>74</v>
      </c>
      <c r="C16" s="39" t="s">
        <v>72</v>
      </c>
      <c r="D16" s="40">
        <v>46233</v>
      </c>
      <c r="E16" s="39" t="s">
        <v>76</v>
      </c>
      <c r="F16" s="41" t="s">
        <v>93</v>
      </c>
      <c r="G16" s="38">
        <v>10489.849890000001</v>
      </c>
      <c r="H16" s="91">
        <v>170.3</v>
      </c>
      <c r="I16" s="92">
        <v>61.596299999999999</v>
      </c>
      <c r="J16" s="75" t="s">
        <v>293</v>
      </c>
    </row>
    <row r="17" spans="1:10" s="20" customFormat="1" x14ac:dyDescent="0.25">
      <c r="A17" s="33" t="s">
        <v>79</v>
      </c>
      <c r="B17" s="34" t="s">
        <v>74</v>
      </c>
      <c r="C17" s="39" t="s">
        <v>72</v>
      </c>
      <c r="D17" s="40">
        <v>46240</v>
      </c>
      <c r="E17" s="39" t="s">
        <v>76</v>
      </c>
      <c r="F17" s="41" t="s">
        <v>94</v>
      </c>
      <c r="G17" s="38">
        <v>11508.831246</v>
      </c>
      <c r="H17" s="91">
        <v>187.66</v>
      </c>
      <c r="I17" s="92">
        <v>61.328000000000003</v>
      </c>
      <c r="J17" s="75" t="s">
        <v>293</v>
      </c>
    </row>
    <row r="18" spans="1:10" s="20" customFormat="1" x14ac:dyDescent="0.25">
      <c r="A18" s="33" t="s">
        <v>79</v>
      </c>
      <c r="B18" s="34" t="s">
        <v>74</v>
      </c>
      <c r="C18" s="39" t="s">
        <v>72</v>
      </c>
      <c r="D18" s="40">
        <v>46248</v>
      </c>
      <c r="E18" s="39" t="s">
        <v>76</v>
      </c>
      <c r="F18" s="41" t="s">
        <v>95</v>
      </c>
      <c r="G18" s="38">
        <v>8069.5513980000005</v>
      </c>
      <c r="H18" s="91">
        <v>131.58000000000001</v>
      </c>
      <c r="I18" s="92">
        <v>61.328000000000003</v>
      </c>
      <c r="J18" s="75" t="s">
        <v>293</v>
      </c>
    </row>
    <row r="19" spans="1:10" s="20" customFormat="1" x14ac:dyDescent="0.25">
      <c r="A19" s="33" t="s">
        <v>79</v>
      </c>
      <c r="B19" s="34" t="s">
        <v>74</v>
      </c>
      <c r="C19" s="39" t="s">
        <v>72</v>
      </c>
      <c r="D19" s="40">
        <v>46253</v>
      </c>
      <c r="E19" s="39" t="s">
        <v>76</v>
      </c>
      <c r="F19" s="41" t="s">
        <v>96</v>
      </c>
      <c r="G19" s="38">
        <v>13315.557072</v>
      </c>
      <c r="H19" s="91">
        <v>217.12</v>
      </c>
      <c r="I19" s="92">
        <v>61.328000000000003</v>
      </c>
      <c r="J19" s="75" t="s">
        <v>293</v>
      </c>
    </row>
    <row r="20" spans="1:10" s="20" customFormat="1" x14ac:dyDescent="0.25">
      <c r="A20" s="33" t="s">
        <v>79</v>
      </c>
      <c r="B20" s="34" t="s">
        <v>74</v>
      </c>
      <c r="C20" s="39" t="s">
        <v>72</v>
      </c>
      <c r="D20" s="40">
        <v>46253</v>
      </c>
      <c r="E20" s="39" t="s">
        <v>76</v>
      </c>
      <c r="F20" s="41" t="s">
        <v>97</v>
      </c>
      <c r="G20" s="38">
        <v>48495.808356000001</v>
      </c>
      <c r="H20" s="91">
        <v>790.76</v>
      </c>
      <c r="I20" s="92">
        <v>61.328000000000003</v>
      </c>
      <c r="J20" s="75" t="s">
        <v>293</v>
      </c>
    </row>
    <row r="21" spans="1:10" s="20" customFormat="1" x14ac:dyDescent="0.25">
      <c r="A21" s="33" t="s">
        <v>79</v>
      </c>
      <c r="B21" s="34" t="s">
        <v>74</v>
      </c>
      <c r="C21" s="39" t="s">
        <v>72</v>
      </c>
      <c r="D21" s="40">
        <v>46262</v>
      </c>
      <c r="E21" s="39" t="s">
        <v>76</v>
      </c>
      <c r="F21" s="41" t="s">
        <v>98</v>
      </c>
      <c r="G21" s="38">
        <v>13615.451481</v>
      </c>
      <c r="H21" s="91">
        <v>222.01</v>
      </c>
      <c r="I21" s="92">
        <v>61.328000000000003</v>
      </c>
      <c r="J21" s="75" t="s">
        <v>293</v>
      </c>
    </row>
    <row r="22" spans="1:10" s="20" customFormat="1" x14ac:dyDescent="0.25">
      <c r="A22" s="33" t="s">
        <v>79</v>
      </c>
      <c r="B22" s="34" t="s">
        <v>74</v>
      </c>
      <c r="C22" s="39" t="s">
        <v>72</v>
      </c>
      <c r="D22" s="40">
        <v>46262</v>
      </c>
      <c r="E22" s="39" t="s">
        <v>76</v>
      </c>
      <c r="F22" s="41" t="s">
        <v>99</v>
      </c>
      <c r="G22" s="38">
        <v>13662.674117999999</v>
      </c>
      <c r="H22" s="91">
        <v>222.78</v>
      </c>
      <c r="I22" s="92">
        <v>61.328000000000003</v>
      </c>
      <c r="J22" s="75" t="s">
        <v>293</v>
      </c>
    </row>
    <row r="23" spans="1:10" s="20" customFormat="1" x14ac:dyDescent="0.25">
      <c r="A23" s="33" t="s">
        <v>79</v>
      </c>
      <c r="B23" s="34" t="s">
        <v>74</v>
      </c>
      <c r="C23" s="39" t="s">
        <v>72</v>
      </c>
      <c r="D23" s="40">
        <v>46262</v>
      </c>
      <c r="E23" s="39" t="s">
        <v>76</v>
      </c>
      <c r="F23" s="41" t="s">
        <v>100</v>
      </c>
      <c r="G23" s="38">
        <v>48495.808356000001</v>
      </c>
      <c r="H23" s="91">
        <v>790.76</v>
      </c>
      <c r="I23" s="92">
        <v>61.328000000000003</v>
      </c>
      <c r="J23" s="75" t="s">
        <v>293</v>
      </c>
    </row>
    <row r="24" spans="1:10" s="33" customFormat="1" x14ac:dyDescent="0.25">
      <c r="A24" s="33" t="s">
        <v>79</v>
      </c>
      <c r="B24" s="34" t="s">
        <v>74</v>
      </c>
      <c r="C24" s="43" t="s">
        <v>72</v>
      </c>
      <c r="D24" s="36">
        <v>46262</v>
      </c>
      <c r="E24" s="43" t="s">
        <v>71</v>
      </c>
      <c r="F24" s="44" t="s">
        <v>102</v>
      </c>
      <c r="G24" s="45">
        <v>15703.2</v>
      </c>
    </row>
    <row r="25" spans="1:10" s="46" customFormat="1" x14ac:dyDescent="0.25">
      <c r="A25" s="46" t="s">
        <v>78</v>
      </c>
      <c r="B25" s="47" t="s">
        <v>74</v>
      </c>
      <c r="C25" s="48" t="s">
        <v>72</v>
      </c>
      <c r="D25" s="49">
        <v>46112</v>
      </c>
      <c r="E25" s="48" t="s">
        <v>3</v>
      </c>
      <c r="F25" s="50" t="s">
        <v>105</v>
      </c>
      <c r="G25" s="51">
        <v>57585</v>
      </c>
    </row>
    <row r="26" spans="1:10" s="46" customFormat="1" x14ac:dyDescent="0.25">
      <c r="A26" s="46" t="s">
        <v>78</v>
      </c>
      <c r="B26" s="47" t="s">
        <v>74</v>
      </c>
      <c r="C26" s="48" t="s">
        <v>72</v>
      </c>
      <c r="D26" s="49">
        <v>46142</v>
      </c>
      <c r="E26" s="48" t="s">
        <v>3</v>
      </c>
      <c r="F26" s="50" t="s">
        <v>106</v>
      </c>
      <c r="G26" s="51">
        <v>53295</v>
      </c>
    </row>
    <row r="27" spans="1:10" s="46" customFormat="1" x14ac:dyDescent="0.25">
      <c r="A27" s="46" t="s">
        <v>78</v>
      </c>
      <c r="B27" s="47" t="s">
        <v>74</v>
      </c>
      <c r="C27" s="48" t="s">
        <v>72</v>
      </c>
      <c r="D27" s="49">
        <v>46156</v>
      </c>
      <c r="E27" s="48" t="s">
        <v>77</v>
      </c>
      <c r="F27" s="50" t="s">
        <v>160</v>
      </c>
      <c r="G27" s="51">
        <v>615</v>
      </c>
    </row>
    <row r="28" spans="1:10" s="46" customFormat="1" x14ac:dyDescent="0.25">
      <c r="A28" s="46" t="s">
        <v>78</v>
      </c>
      <c r="B28" s="47" t="s">
        <v>74</v>
      </c>
      <c r="C28" s="48" t="s">
        <v>72</v>
      </c>
      <c r="D28" s="49">
        <v>46156</v>
      </c>
      <c r="E28" s="48" t="s">
        <v>3</v>
      </c>
      <c r="F28" s="50" t="s">
        <v>107</v>
      </c>
      <c r="G28" s="51">
        <v>48400</v>
      </c>
    </row>
    <row r="29" spans="1:10" s="46" customFormat="1" x14ac:dyDescent="0.25">
      <c r="A29" s="46" t="s">
        <v>78</v>
      </c>
      <c r="B29" s="47" t="s">
        <v>74</v>
      </c>
      <c r="C29" s="48" t="s">
        <v>72</v>
      </c>
      <c r="D29" s="49">
        <v>46157</v>
      </c>
      <c r="E29" s="48" t="s">
        <v>57</v>
      </c>
      <c r="F29" s="50" t="s">
        <v>162</v>
      </c>
      <c r="G29" s="51">
        <v>7539.56</v>
      </c>
    </row>
    <row r="30" spans="1:10" s="46" customFormat="1" x14ac:dyDescent="0.25">
      <c r="A30" s="46" t="s">
        <v>78</v>
      </c>
      <c r="B30" s="47" t="s">
        <v>74</v>
      </c>
      <c r="C30" s="48" t="s">
        <v>72</v>
      </c>
      <c r="D30" s="49">
        <v>46161</v>
      </c>
      <c r="E30" s="48" t="s">
        <v>57</v>
      </c>
      <c r="F30" s="50" t="s">
        <v>163</v>
      </c>
      <c r="G30" s="51">
        <v>6890.86</v>
      </c>
    </row>
    <row r="31" spans="1:10" s="46" customFormat="1" x14ac:dyDescent="0.25">
      <c r="A31" s="46" t="s">
        <v>78</v>
      </c>
      <c r="B31" s="47" t="s">
        <v>74</v>
      </c>
      <c r="C31" s="48" t="s">
        <v>72</v>
      </c>
      <c r="D31" s="49">
        <v>46170</v>
      </c>
      <c r="E31" s="48" t="s">
        <v>3</v>
      </c>
      <c r="F31" s="50" t="s">
        <v>108</v>
      </c>
      <c r="G31" s="51">
        <v>52112.5</v>
      </c>
    </row>
    <row r="32" spans="1:10" s="46" customFormat="1" x14ac:dyDescent="0.25">
      <c r="A32" s="46" t="s">
        <v>78</v>
      </c>
      <c r="B32" s="47" t="s">
        <v>74</v>
      </c>
      <c r="C32" s="48" t="s">
        <v>72</v>
      </c>
      <c r="D32" s="49">
        <v>46170</v>
      </c>
      <c r="E32" s="48" t="s">
        <v>3</v>
      </c>
      <c r="F32" s="50" t="s">
        <v>109</v>
      </c>
      <c r="G32" s="51">
        <v>83875</v>
      </c>
    </row>
    <row r="33" spans="1:7" s="46" customFormat="1" x14ac:dyDescent="0.25">
      <c r="A33" s="46" t="s">
        <v>78</v>
      </c>
      <c r="B33" s="47" t="s">
        <v>74</v>
      </c>
      <c r="C33" s="48" t="s">
        <v>72</v>
      </c>
      <c r="D33" s="49">
        <v>46170</v>
      </c>
      <c r="E33" s="48" t="s">
        <v>57</v>
      </c>
      <c r="F33" s="50" t="s">
        <v>161</v>
      </c>
      <c r="G33" s="51">
        <v>23151.18</v>
      </c>
    </row>
    <row r="34" spans="1:7" s="46" customFormat="1" x14ac:dyDescent="0.25">
      <c r="A34" s="46" t="s">
        <v>78</v>
      </c>
      <c r="B34" s="47" t="s">
        <v>74</v>
      </c>
      <c r="C34" s="48" t="s">
        <v>72</v>
      </c>
      <c r="D34" s="49">
        <v>46183</v>
      </c>
      <c r="E34" s="48" t="s">
        <v>25</v>
      </c>
      <c r="F34" s="50" t="s">
        <v>142</v>
      </c>
      <c r="G34" s="51">
        <v>67262.81</v>
      </c>
    </row>
    <row r="35" spans="1:7" s="46" customFormat="1" x14ac:dyDescent="0.25">
      <c r="A35" s="46" t="s">
        <v>78</v>
      </c>
      <c r="B35" s="47" t="s">
        <v>74</v>
      </c>
      <c r="C35" s="48" t="s">
        <v>72</v>
      </c>
      <c r="D35" s="49">
        <v>46189</v>
      </c>
      <c r="E35" s="48" t="s">
        <v>14</v>
      </c>
      <c r="F35" s="50" t="s">
        <v>117</v>
      </c>
      <c r="G35" s="51">
        <v>47470.14</v>
      </c>
    </row>
    <row r="36" spans="1:7" s="46" customFormat="1" x14ac:dyDescent="0.25">
      <c r="A36" s="46" t="s">
        <v>78</v>
      </c>
      <c r="B36" s="47" t="s">
        <v>74</v>
      </c>
      <c r="C36" s="48" t="s">
        <v>72</v>
      </c>
      <c r="D36" s="49">
        <v>46191</v>
      </c>
      <c r="E36" s="48" t="s">
        <v>28</v>
      </c>
      <c r="F36" s="50" t="s">
        <v>146</v>
      </c>
      <c r="G36" s="51">
        <v>34771.93</v>
      </c>
    </row>
    <row r="37" spans="1:7" s="46" customFormat="1" x14ac:dyDescent="0.25">
      <c r="A37" s="46" t="s">
        <v>78</v>
      </c>
      <c r="B37" s="47" t="s">
        <v>74</v>
      </c>
      <c r="C37" s="48" t="s">
        <v>72</v>
      </c>
      <c r="D37" s="49">
        <v>46192</v>
      </c>
      <c r="E37" s="48" t="s">
        <v>3</v>
      </c>
      <c r="F37" s="50" t="s">
        <v>110</v>
      </c>
      <c r="G37" s="51">
        <v>85525</v>
      </c>
    </row>
    <row r="38" spans="1:7" s="46" customFormat="1" x14ac:dyDescent="0.25">
      <c r="A38" s="46" t="s">
        <v>78</v>
      </c>
      <c r="B38" s="47" t="s">
        <v>74</v>
      </c>
      <c r="C38" s="48" t="s">
        <v>72</v>
      </c>
      <c r="D38" s="49">
        <v>46197</v>
      </c>
      <c r="E38" s="48" t="s">
        <v>14</v>
      </c>
      <c r="F38" s="50" t="s">
        <v>118</v>
      </c>
      <c r="G38" s="51">
        <v>21836.58</v>
      </c>
    </row>
    <row r="39" spans="1:7" s="46" customFormat="1" x14ac:dyDescent="0.25">
      <c r="A39" s="46" t="s">
        <v>78</v>
      </c>
      <c r="B39" s="47" t="s">
        <v>74</v>
      </c>
      <c r="C39" s="48" t="s">
        <v>72</v>
      </c>
      <c r="D39" s="49">
        <v>46198</v>
      </c>
      <c r="E39" s="48" t="s">
        <v>57</v>
      </c>
      <c r="F39" s="50" t="s">
        <v>164</v>
      </c>
      <c r="G39" s="51">
        <v>27805.46</v>
      </c>
    </row>
    <row r="40" spans="1:7" s="46" customFormat="1" x14ac:dyDescent="0.25">
      <c r="A40" s="46" t="s">
        <v>78</v>
      </c>
      <c r="B40" s="47" t="s">
        <v>74</v>
      </c>
      <c r="C40" s="48" t="s">
        <v>72</v>
      </c>
      <c r="D40" s="49">
        <v>46202</v>
      </c>
      <c r="E40" s="48" t="s">
        <v>14</v>
      </c>
      <c r="F40" s="50" t="s">
        <v>119</v>
      </c>
      <c r="G40" s="51">
        <v>20611.080000000002</v>
      </c>
    </row>
    <row r="41" spans="1:7" s="46" customFormat="1" x14ac:dyDescent="0.25">
      <c r="A41" s="46" t="s">
        <v>78</v>
      </c>
      <c r="B41" s="47" t="s">
        <v>74</v>
      </c>
      <c r="C41" s="48" t="s">
        <v>72</v>
      </c>
      <c r="D41" s="49">
        <v>46209</v>
      </c>
      <c r="E41" s="48" t="s">
        <v>14</v>
      </c>
      <c r="F41" s="50" t="s">
        <v>120</v>
      </c>
      <c r="G41" s="51">
        <v>44529.29</v>
      </c>
    </row>
    <row r="42" spans="1:7" s="46" customFormat="1" x14ac:dyDescent="0.25">
      <c r="A42" s="46" t="s">
        <v>78</v>
      </c>
      <c r="B42" s="47" t="s">
        <v>74</v>
      </c>
      <c r="C42" s="48" t="s">
        <v>72</v>
      </c>
      <c r="D42" s="49">
        <v>46209</v>
      </c>
      <c r="E42" s="48" t="s">
        <v>14</v>
      </c>
      <c r="F42" s="50" t="s">
        <v>121</v>
      </c>
      <c r="G42" s="51">
        <v>43675.1</v>
      </c>
    </row>
    <row r="43" spans="1:7" s="46" customFormat="1" x14ac:dyDescent="0.25">
      <c r="A43" s="46" t="s">
        <v>78</v>
      </c>
      <c r="B43" s="47" t="s">
        <v>74</v>
      </c>
      <c r="C43" s="48" t="s">
        <v>72</v>
      </c>
      <c r="D43" s="49">
        <v>46212</v>
      </c>
      <c r="E43" s="48" t="s">
        <v>57</v>
      </c>
      <c r="F43" s="50" t="s">
        <v>166</v>
      </c>
      <c r="G43" s="51">
        <v>24384.86</v>
      </c>
    </row>
    <row r="44" spans="1:7" s="46" customFormat="1" x14ac:dyDescent="0.25">
      <c r="A44" s="46" t="s">
        <v>78</v>
      </c>
      <c r="B44" s="47" t="s">
        <v>74</v>
      </c>
      <c r="C44" s="48" t="s">
        <v>72</v>
      </c>
      <c r="D44" s="49">
        <v>46212</v>
      </c>
      <c r="E44" s="48" t="s">
        <v>27</v>
      </c>
      <c r="F44" s="50" t="s">
        <v>144</v>
      </c>
      <c r="G44" s="51">
        <v>46857.120000000003</v>
      </c>
    </row>
    <row r="45" spans="1:7" s="46" customFormat="1" x14ac:dyDescent="0.25">
      <c r="A45" s="46" t="s">
        <v>78</v>
      </c>
      <c r="B45" s="47" t="s">
        <v>74</v>
      </c>
      <c r="C45" s="48" t="s">
        <v>72</v>
      </c>
      <c r="D45" s="49">
        <v>46216</v>
      </c>
      <c r="E45" s="48" t="s">
        <v>14</v>
      </c>
      <c r="F45" s="50" t="s">
        <v>122</v>
      </c>
      <c r="G45" s="51">
        <v>49237.09</v>
      </c>
    </row>
    <row r="46" spans="1:7" s="46" customFormat="1" x14ac:dyDescent="0.25">
      <c r="A46" s="46" t="s">
        <v>78</v>
      </c>
      <c r="B46" s="47" t="s">
        <v>74</v>
      </c>
      <c r="C46" s="48" t="s">
        <v>72</v>
      </c>
      <c r="D46" s="49">
        <v>46216</v>
      </c>
      <c r="E46" s="48" t="s">
        <v>2</v>
      </c>
      <c r="F46" s="50" t="s">
        <v>104</v>
      </c>
      <c r="G46" s="51">
        <v>26871.33</v>
      </c>
    </row>
    <row r="47" spans="1:7" s="46" customFormat="1" x14ac:dyDescent="0.25">
      <c r="A47" s="46" t="s">
        <v>78</v>
      </c>
      <c r="B47" s="47" t="s">
        <v>74</v>
      </c>
      <c r="C47" s="48" t="s">
        <v>72</v>
      </c>
      <c r="D47" s="49">
        <v>46219</v>
      </c>
      <c r="E47" s="48" t="s">
        <v>14</v>
      </c>
      <c r="F47" s="50" t="s">
        <v>123</v>
      </c>
      <c r="G47" s="51">
        <v>23509.65</v>
      </c>
    </row>
    <row r="48" spans="1:7" s="46" customFormat="1" x14ac:dyDescent="0.25">
      <c r="A48" s="46" t="s">
        <v>78</v>
      </c>
      <c r="B48" s="47" t="s">
        <v>74</v>
      </c>
      <c r="C48" s="48" t="s">
        <v>72</v>
      </c>
      <c r="D48" s="49">
        <v>46219</v>
      </c>
      <c r="E48" s="48" t="s">
        <v>14</v>
      </c>
      <c r="F48" s="50" t="s">
        <v>124</v>
      </c>
      <c r="G48" s="51">
        <v>21383.5</v>
      </c>
    </row>
    <row r="49" spans="1:7" s="46" customFormat="1" x14ac:dyDescent="0.25">
      <c r="A49" s="46" t="s">
        <v>78</v>
      </c>
      <c r="B49" s="47" t="s">
        <v>74</v>
      </c>
      <c r="C49" s="48" t="s">
        <v>72</v>
      </c>
      <c r="D49" s="49">
        <v>46223</v>
      </c>
      <c r="E49" s="48" t="s">
        <v>14</v>
      </c>
      <c r="F49" s="50" t="s">
        <v>125</v>
      </c>
      <c r="G49" s="51">
        <v>45605.11</v>
      </c>
    </row>
    <row r="50" spans="1:7" s="46" customFormat="1" x14ac:dyDescent="0.25">
      <c r="A50" s="46" t="s">
        <v>78</v>
      </c>
      <c r="B50" s="47" t="s">
        <v>74</v>
      </c>
      <c r="C50" s="48" t="s">
        <v>72</v>
      </c>
      <c r="D50" s="49">
        <v>46225</v>
      </c>
      <c r="E50" s="48" t="s">
        <v>38</v>
      </c>
      <c r="F50" s="50" t="s">
        <v>149</v>
      </c>
      <c r="G50" s="51">
        <v>31350</v>
      </c>
    </row>
    <row r="51" spans="1:7" s="46" customFormat="1" x14ac:dyDescent="0.25">
      <c r="A51" s="46" t="s">
        <v>78</v>
      </c>
      <c r="B51" s="47" t="s">
        <v>74</v>
      </c>
      <c r="C51" s="48" t="s">
        <v>72</v>
      </c>
      <c r="D51" s="49">
        <v>46225</v>
      </c>
      <c r="E51" s="48" t="s">
        <v>14</v>
      </c>
      <c r="F51" s="50" t="s">
        <v>126</v>
      </c>
      <c r="G51" s="51">
        <v>48156.78</v>
      </c>
    </row>
    <row r="52" spans="1:7" s="46" customFormat="1" x14ac:dyDescent="0.25">
      <c r="A52" s="46" t="s">
        <v>78</v>
      </c>
      <c r="B52" s="47" t="s">
        <v>74</v>
      </c>
      <c r="C52" s="48" t="s">
        <v>72</v>
      </c>
      <c r="D52" s="49">
        <v>46226</v>
      </c>
      <c r="E52" s="48" t="s">
        <v>57</v>
      </c>
      <c r="F52" s="50" t="s">
        <v>167</v>
      </c>
      <c r="G52" s="51">
        <v>9629.26</v>
      </c>
    </row>
    <row r="53" spans="1:7" s="46" customFormat="1" x14ac:dyDescent="0.25">
      <c r="A53" s="46" t="s">
        <v>78</v>
      </c>
      <c r="B53" s="47" t="s">
        <v>74</v>
      </c>
      <c r="C53" s="48" t="s">
        <v>72</v>
      </c>
      <c r="D53" s="49">
        <v>46226</v>
      </c>
      <c r="E53" s="48" t="s">
        <v>57</v>
      </c>
      <c r="F53" s="50" t="s">
        <v>168</v>
      </c>
      <c r="G53" s="51">
        <v>12879.05</v>
      </c>
    </row>
    <row r="54" spans="1:7" s="46" customFormat="1" x14ac:dyDescent="0.25">
      <c r="A54" s="46" t="s">
        <v>78</v>
      </c>
      <c r="B54" s="47" t="s">
        <v>74</v>
      </c>
      <c r="C54" s="48" t="s">
        <v>72</v>
      </c>
      <c r="D54" s="49">
        <v>46230</v>
      </c>
      <c r="E54" s="48" t="s">
        <v>22</v>
      </c>
      <c r="F54" s="50" t="s">
        <v>135</v>
      </c>
      <c r="G54" s="51">
        <v>57685.17</v>
      </c>
    </row>
    <row r="55" spans="1:7" s="46" customFormat="1" x14ac:dyDescent="0.25">
      <c r="A55" s="46" t="s">
        <v>78</v>
      </c>
      <c r="B55" s="47" t="s">
        <v>74</v>
      </c>
      <c r="C55" s="48" t="s">
        <v>72</v>
      </c>
      <c r="D55" s="49">
        <v>46230</v>
      </c>
      <c r="E55" s="48" t="s">
        <v>22</v>
      </c>
      <c r="F55" s="50" t="s">
        <v>136</v>
      </c>
      <c r="G55" s="51">
        <v>57685.17</v>
      </c>
    </row>
    <row r="56" spans="1:7" s="46" customFormat="1" x14ac:dyDescent="0.25">
      <c r="A56" s="46" t="s">
        <v>78</v>
      </c>
      <c r="B56" s="47" t="s">
        <v>74</v>
      </c>
      <c r="C56" s="48" t="s">
        <v>72</v>
      </c>
      <c r="D56" s="49">
        <v>46230</v>
      </c>
      <c r="E56" s="48" t="s">
        <v>41</v>
      </c>
      <c r="F56" s="50" t="s">
        <v>155</v>
      </c>
      <c r="G56" s="51">
        <v>38528</v>
      </c>
    </row>
    <row r="57" spans="1:7" s="46" customFormat="1" x14ac:dyDescent="0.25">
      <c r="A57" s="46" t="s">
        <v>78</v>
      </c>
      <c r="B57" s="47" t="s">
        <v>74</v>
      </c>
      <c r="C57" s="48" t="s">
        <v>72</v>
      </c>
      <c r="D57" s="49">
        <v>46231</v>
      </c>
      <c r="E57" s="48" t="s">
        <v>19</v>
      </c>
      <c r="F57" s="50" t="s">
        <v>129</v>
      </c>
      <c r="G57" s="51">
        <v>33622.93</v>
      </c>
    </row>
    <row r="58" spans="1:7" s="46" customFormat="1" x14ac:dyDescent="0.25">
      <c r="A58" s="46" t="s">
        <v>78</v>
      </c>
      <c r="B58" s="47" t="s">
        <v>74</v>
      </c>
      <c r="C58" s="48" t="s">
        <v>72</v>
      </c>
      <c r="D58" s="49">
        <v>46231</v>
      </c>
      <c r="E58" s="48" t="s">
        <v>27</v>
      </c>
      <c r="F58" s="50" t="s">
        <v>145</v>
      </c>
      <c r="G58" s="51">
        <v>46674.29</v>
      </c>
    </row>
    <row r="59" spans="1:7" s="46" customFormat="1" x14ac:dyDescent="0.25">
      <c r="A59" s="46" t="s">
        <v>78</v>
      </c>
      <c r="B59" s="47" t="s">
        <v>74</v>
      </c>
      <c r="C59" s="48" t="s">
        <v>72</v>
      </c>
      <c r="D59" s="49">
        <v>46232</v>
      </c>
      <c r="E59" s="48" t="s">
        <v>3</v>
      </c>
      <c r="F59" s="50" t="s">
        <v>111</v>
      </c>
      <c r="G59" s="51">
        <v>52112.5</v>
      </c>
    </row>
    <row r="60" spans="1:7" s="46" customFormat="1" x14ac:dyDescent="0.25">
      <c r="A60" s="46" t="s">
        <v>78</v>
      </c>
      <c r="B60" s="47" t="s">
        <v>74</v>
      </c>
      <c r="C60" s="48" t="s">
        <v>72</v>
      </c>
      <c r="D60" s="49">
        <v>46233</v>
      </c>
      <c r="E60" s="48" t="s">
        <v>19</v>
      </c>
      <c r="F60" s="50" t="s">
        <v>131</v>
      </c>
      <c r="G60" s="51">
        <v>33622.93</v>
      </c>
    </row>
    <row r="61" spans="1:7" s="46" customFormat="1" x14ac:dyDescent="0.25">
      <c r="A61" s="46" t="s">
        <v>78</v>
      </c>
      <c r="B61" s="47" t="s">
        <v>74</v>
      </c>
      <c r="C61" s="48" t="s">
        <v>72</v>
      </c>
      <c r="D61" s="49">
        <v>46233</v>
      </c>
      <c r="E61" s="48" t="s">
        <v>1</v>
      </c>
      <c r="F61" s="50" t="s">
        <v>103</v>
      </c>
      <c r="G61" s="51">
        <v>8800</v>
      </c>
    </row>
    <row r="62" spans="1:7" s="46" customFormat="1" x14ac:dyDescent="0.25">
      <c r="A62" s="46" t="s">
        <v>78</v>
      </c>
      <c r="B62" s="47" t="s">
        <v>74</v>
      </c>
      <c r="C62" s="48" t="s">
        <v>72</v>
      </c>
      <c r="D62" s="49">
        <v>46238</v>
      </c>
      <c r="E62" s="48" t="s">
        <v>57</v>
      </c>
      <c r="F62" s="50" t="s">
        <v>169</v>
      </c>
      <c r="G62" s="51">
        <v>24005.18</v>
      </c>
    </row>
    <row r="63" spans="1:7" s="46" customFormat="1" x14ac:dyDescent="0.25">
      <c r="A63" s="46" t="s">
        <v>78</v>
      </c>
      <c r="B63" s="47" t="s">
        <v>74</v>
      </c>
      <c r="C63" s="48" t="s">
        <v>72</v>
      </c>
      <c r="D63" s="49">
        <v>46240</v>
      </c>
      <c r="E63" s="48" t="s">
        <v>21</v>
      </c>
      <c r="F63" s="50" t="s">
        <v>133</v>
      </c>
      <c r="G63" s="51">
        <v>28458.1</v>
      </c>
    </row>
    <row r="64" spans="1:7" s="46" customFormat="1" x14ac:dyDescent="0.25">
      <c r="A64" s="46" t="s">
        <v>78</v>
      </c>
      <c r="B64" s="47" t="s">
        <v>74</v>
      </c>
      <c r="C64" s="48" t="s">
        <v>72</v>
      </c>
      <c r="D64" s="49">
        <v>46245</v>
      </c>
      <c r="E64" s="48" t="s">
        <v>3</v>
      </c>
      <c r="F64" s="50" t="s">
        <v>112</v>
      </c>
      <c r="G64" s="51">
        <v>53102.5</v>
      </c>
    </row>
    <row r="65" spans="1:15" s="46" customFormat="1" x14ac:dyDescent="0.25">
      <c r="A65" s="46" t="s">
        <v>78</v>
      </c>
      <c r="B65" s="47" t="s">
        <v>74</v>
      </c>
      <c r="C65" s="48" t="s">
        <v>72</v>
      </c>
      <c r="D65" s="49">
        <v>46245</v>
      </c>
      <c r="E65" s="48" t="s">
        <v>38</v>
      </c>
      <c r="F65" s="50" t="s">
        <v>150</v>
      </c>
      <c r="G65" s="51">
        <v>55302.5</v>
      </c>
    </row>
    <row r="66" spans="1:15" s="46" customFormat="1" x14ac:dyDescent="0.25">
      <c r="A66" s="46" t="s">
        <v>78</v>
      </c>
      <c r="B66" s="47" t="s">
        <v>74</v>
      </c>
      <c r="C66" s="48" t="s">
        <v>72</v>
      </c>
      <c r="D66" s="49">
        <v>46245</v>
      </c>
      <c r="E66" s="48" t="s">
        <v>40</v>
      </c>
      <c r="F66" s="50" t="s">
        <v>154</v>
      </c>
      <c r="G66" s="51">
        <v>21230</v>
      </c>
    </row>
    <row r="67" spans="1:15" s="46" customFormat="1" x14ac:dyDescent="0.25">
      <c r="A67" s="46" t="s">
        <v>78</v>
      </c>
      <c r="B67" s="47" t="s">
        <v>74</v>
      </c>
      <c r="C67" s="48" t="s">
        <v>72</v>
      </c>
      <c r="D67" s="49">
        <v>46245</v>
      </c>
      <c r="E67" s="48" t="s">
        <v>14</v>
      </c>
      <c r="F67" s="50" t="s">
        <v>127</v>
      </c>
      <c r="G67" s="51">
        <v>23295.360000000001</v>
      </c>
    </row>
    <row r="68" spans="1:15" s="46" customFormat="1" x14ac:dyDescent="0.25">
      <c r="A68" s="46" t="s">
        <v>78</v>
      </c>
      <c r="B68" s="47" t="s">
        <v>74</v>
      </c>
      <c r="C68" s="48" t="s">
        <v>72</v>
      </c>
      <c r="D68" s="49">
        <v>46245</v>
      </c>
      <c r="E68" s="48" t="s">
        <v>45</v>
      </c>
      <c r="F68" s="50" t="s">
        <v>156</v>
      </c>
      <c r="G68" s="51">
        <v>34020</v>
      </c>
      <c r="H68" s="52"/>
      <c r="I68" s="52"/>
      <c r="J68" s="52"/>
      <c r="K68" s="52"/>
      <c r="L68" s="52"/>
      <c r="M68" s="52"/>
      <c r="N68" s="52"/>
      <c r="O68" s="52"/>
    </row>
    <row r="69" spans="1:15" s="46" customFormat="1" x14ac:dyDescent="0.25">
      <c r="A69" s="46" t="s">
        <v>78</v>
      </c>
      <c r="B69" s="47" t="s">
        <v>74</v>
      </c>
      <c r="C69" s="48" t="s">
        <v>72</v>
      </c>
      <c r="D69" s="49">
        <v>46247</v>
      </c>
      <c r="E69" s="48" t="s">
        <v>57</v>
      </c>
      <c r="F69" s="50" t="s">
        <v>170</v>
      </c>
      <c r="G69" s="51">
        <v>38142.33</v>
      </c>
    </row>
    <row r="70" spans="1:15" s="46" customFormat="1" x14ac:dyDescent="0.25">
      <c r="A70" s="46" t="s">
        <v>78</v>
      </c>
      <c r="B70" s="47" t="s">
        <v>74</v>
      </c>
      <c r="C70" s="48" t="s">
        <v>72</v>
      </c>
      <c r="D70" s="49">
        <v>46247</v>
      </c>
      <c r="E70" s="48" t="s">
        <v>70</v>
      </c>
      <c r="F70" s="50" t="s">
        <v>173</v>
      </c>
      <c r="G70" s="51">
        <v>10300.700000000001</v>
      </c>
    </row>
    <row r="71" spans="1:15" s="46" customFormat="1" x14ac:dyDescent="0.25">
      <c r="A71" s="46" t="s">
        <v>78</v>
      </c>
      <c r="B71" s="47" t="s">
        <v>74</v>
      </c>
      <c r="C71" s="48" t="s">
        <v>72</v>
      </c>
      <c r="D71" s="49">
        <v>46248</v>
      </c>
      <c r="E71" s="48" t="s">
        <v>14</v>
      </c>
      <c r="F71" s="50" t="s">
        <v>128</v>
      </c>
      <c r="G71" s="51">
        <v>52563.4</v>
      </c>
    </row>
    <row r="72" spans="1:15" s="46" customFormat="1" x14ac:dyDescent="0.25">
      <c r="A72" s="46" t="s">
        <v>78</v>
      </c>
      <c r="B72" s="47" t="s">
        <v>74</v>
      </c>
      <c r="C72" s="48" t="s">
        <v>72</v>
      </c>
      <c r="D72" s="49">
        <v>46248</v>
      </c>
      <c r="E72" s="48" t="s">
        <v>39</v>
      </c>
      <c r="F72" s="50" t="s">
        <v>151</v>
      </c>
      <c r="G72" s="51">
        <v>20991.599999999999</v>
      </c>
    </row>
    <row r="73" spans="1:15" s="46" customFormat="1" x14ac:dyDescent="0.25">
      <c r="A73" s="46" t="s">
        <v>78</v>
      </c>
      <c r="B73" s="47" t="s">
        <v>74</v>
      </c>
      <c r="C73" s="48" t="s">
        <v>72</v>
      </c>
      <c r="D73" s="49">
        <v>46248</v>
      </c>
      <c r="E73" s="48" t="s">
        <v>54</v>
      </c>
      <c r="F73" s="50" t="s">
        <v>159</v>
      </c>
      <c r="G73" s="51">
        <v>3850</v>
      </c>
    </row>
    <row r="74" spans="1:15" s="46" customFormat="1" x14ac:dyDescent="0.25">
      <c r="A74" s="46" t="s">
        <v>78</v>
      </c>
      <c r="B74" s="47" t="s">
        <v>74</v>
      </c>
      <c r="C74" s="48" t="s">
        <v>72</v>
      </c>
      <c r="D74" s="49">
        <v>46248</v>
      </c>
      <c r="E74" s="48" t="s">
        <v>57</v>
      </c>
      <c r="F74" s="50" t="s">
        <v>171</v>
      </c>
      <c r="G74" s="51">
        <v>20291.490000000002</v>
      </c>
    </row>
    <row r="75" spans="1:15" s="46" customFormat="1" x14ac:dyDescent="0.25">
      <c r="A75" s="46" t="s">
        <v>78</v>
      </c>
      <c r="B75" s="47" t="s">
        <v>74</v>
      </c>
      <c r="C75" s="48" t="s">
        <v>72</v>
      </c>
      <c r="D75" s="49">
        <v>46251</v>
      </c>
      <c r="E75" s="48" t="s">
        <v>24</v>
      </c>
      <c r="F75" s="50" t="s">
        <v>141</v>
      </c>
      <c r="G75" s="51">
        <v>5040</v>
      </c>
    </row>
    <row r="76" spans="1:15" s="46" customFormat="1" x14ac:dyDescent="0.25">
      <c r="A76" s="46" t="s">
        <v>78</v>
      </c>
      <c r="B76" s="47" t="s">
        <v>74</v>
      </c>
      <c r="C76" s="48" t="s">
        <v>72</v>
      </c>
      <c r="D76" s="49">
        <v>46252</v>
      </c>
      <c r="E76" s="48" t="s">
        <v>51</v>
      </c>
      <c r="F76" s="50" t="s">
        <v>158</v>
      </c>
      <c r="G76" s="51">
        <v>7068.6</v>
      </c>
    </row>
    <row r="77" spans="1:15" s="46" customFormat="1" x14ac:dyDescent="0.25">
      <c r="A77" s="46" t="s">
        <v>78</v>
      </c>
      <c r="B77" s="47" t="s">
        <v>74</v>
      </c>
      <c r="C77" s="48" t="s">
        <v>72</v>
      </c>
      <c r="D77" s="49">
        <v>46254</v>
      </c>
      <c r="E77" s="48" t="s">
        <v>3</v>
      </c>
      <c r="F77" s="50" t="s">
        <v>113</v>
      </c>
      <c r="G77" s="51">
        <v>30580</v>
      </c>
    </row>
    <row r="78" spans="1:15" s="46" customFormat="1" x14ac:dyDescent="0.25">
      <c r="A78" s="46" t="s">
        <v>78</v>
      </c>
      <c r="B78" s="47" t="s">
        <v>74</v>
      </c>
      <c r="C78" s="48" t="s">
        <v>72</v>
      </c>
      <c r="D78" s="49">
        <v>46254</v>
      </c>
      <c r="E78" s="48" t="s">
        <v>3</v>
      </c>
      <c r="F78" s="50" t="s">
        <v>114</v>
      </c>
      <c r="G78" s="51">
        <v>23980</v>
      </c>
    </row>
    <row r="79" spans="1:15" s="46" customFormat="1" x14ac:dyDescent="0.25">
      <c r="A79" s="46" t="s">
        <v>78</v>
      </c>
      <c r="B79" s="47" t="s">
        <v>74</v>
      </c>
      <c r="C79" s="48" t="s">
        <v>72</v>
      </c>
      <c r="D79" s="49">
        <v>46252</v>
      </c>
      <c r="E79" s="48" t="s">
        <v>51</v>
      </c>
      <c r="F79" s="50" t="s">
        <v>157</v>
      </c>
      <c r="G79" s="51">
        <v>28274.400000000001</v>
      </c>
    </row>
    <row r="80" spans="1:15" s="46" customFormat="1" x14ac:dyDescent="0.25">
      <c r="A80" s="46" t="s">
        <v>78</v>
      </c>
      <c r="B80" s="47" t="s">
        <v>74</v>
      </c>
      <c r="C80" s="48" t="s">
        <v>72</v>
      </c>
      <c r="D80" s="49">
        <v>46258</v>
      </c>
      <c r="E80" s="48" t="s">
        <v>70</v>
      </c>
      <c r="F80" s="50" t="s">
        <v>174</v>
      </c>
      <c r="G80" s="51">
        <v>9849.9</v>
      </c>
    </row>
    <row r="81" spans="1:7" s="46" customFormat="1" x14ac:dyDescent="0.25">
      <c r="A81" s="46" t="s">
        <v>78</v>
      </c>
      <c r="B81" s="47" t="s">
        <v>74</v>
      </c>
      <c r="C81" s="48" t="s">
        <v>72</v>
      </c>
      <c r="D81" s="49">
        <v>46258</v>
      </c>
      <c r="E81" s="48" t="s">
        <v>23</v>
      </c>
      <c r="F81" s="50" t="s">
        <v>140</v>
      </c>
      <c r="G81" s="51">
        <v>5533</v>
      </c>
    </row>
    <row r="82" spans="1:7" s="46" customFormat="1" x14ac:dyDescent="0.25">
      <c r="A82" s="46" t="s">
        <v>78</v>
      </c>
      <c r="B82" s="47" t="s">
        <v>74</v>
      </c>
      <c r="C82" s="48" t="s">
        <v>72</v>
      </c>
      <c r="D82" s="49">
        <v>46258</v>
      </c>
      <c r="E82" s="48" t="s">
        <v>21</v>
      </c>
      <c r="F82" s="50" t="s">
        <v>134</v>
      </c>
      <c r="G82" s="51">
        <v>35660.9</v>
      </c>
    </row>
    <row r="83" spans="1:7" s="46" customFormat="1" x14ac:dyDescent="0.25">
      <c r="A83" s="46" t="s">
        <v>78</v>
      </c>
      <c r="B83" s="47" t="s">
        <v>74</v>
      </c>
      <c r="C83" s="48" t="s">
        <v>72</v>
      </c>
      <c r="D83" s="49">
        <v>46258</v>
      </c>
      <c r="E83" s="48" t="s">
        <v>39</v>
      </c>
      <c r="F83" s="50" t="s">
        <v>152</v>
      </c>
      <c r="G83" s="51">
        <v>24631.98</v>
      </c>
    </row>
    <row r="84" spans="1:7" s="46" customFormat="1" x14ac:dyDescent="0.25">
      <c r="A84" s="46" t="s">
        <v>78</v>
      </c>
      <c r="B84" s="47" t="s">
        <v>74</v>
      </c>
      <c r="C84" s="48" t="s">
        <v>72</v>
      </c>
      <c r="D84" s="49">
        <v>46258</v>
      </c>
      <c r="E84" s="48" t="s">
        <v>37</v>
      </c>
      <c r="F84" s="50" t="s">
        <v>148</v>
      </c>
      <c r="G84" s="51">
        <v>6160</v>
      </c>
    </row>
    <row r="85" spans="1:7" s="46" customFormat="1" x14ac:dyDescent="0.25">
      <c r="A85" s="46" t="s">
        <v>78</v>
      </c>
      <c r="B85" s="47" t="s">
        <v>74</v>
      </c>
      <c r="C85" s="48" t="s">
        <v>72</v>
      </c>
      <c r="D85" s="49">
        <v>46258</v>
      </c>
      <c r="E85" s="48" t="s">
        <v>25</v>
      </c>
      <c r="F85" s="50" t="s">
        <v>143</v>
      </c>
      <c r="G85" s="51">
        <v>73330.83</v>
      </c>
    </row>
    <row r="86" spans="1:7" s="46" customFormat="1" x14ac:dyDescent="0.25">
      <c r="A86" s="46" t="s">
        <v>78</v>
      </c>
      <c r="B86" s="47" t="s">
        <v>74</v>
      </c>
      <c r="C86" s="48" t="s">
        <v>72</v>
      </c>
      <c r="D86" s="49">
        <v>46261</v>
      </c>
      <c r="E86" s="48" t="s">
        <v>57</v>
      </c>
      <c r="F86" s="50" t="s">
        <v>172</v>
      </c>
      <c r="G86" s="51">
        <v>20743.86</v>
      </c>
    </row>
    <row r="87" spans="1:7" s="46" customFormat="1" x14ac:dyDescent="0.25">
      <c r="A87" s="46" t="s">
        <v>78</v>
      </c>
      <c r="B87" s="47" t="s">
        <v>74</v>
      </c>
      <c r="C87" s="48" t="s">
        <v>72</v>
      </c>
      <c r="D87" s="49">
        <v>46261</v>
      </c>
      <c r="E87" s="48" t="s">
        <v>13</v>
      </c>
      <c r="F87" s="50" t="s">
        <v>116</v>
      </c>
      <c r="G87" s="51">
        <v>23796.5</v>
      </c>
    </row>
    <row r="88" spans="1:7" s="46" customFormat="1" x14ac:dyDescent="0.25">
      <c r="A88" s="46" t="s">
        <v>78</v>
      </c>
      <c r="B88" s="47" t="s">
        <v>74</v>
      </c>
      <c r="C88" s="48" t="s">
        <v>72</v>
      </c>
      <c r="D88" s="49">
        <v>46261</v>
      </c>
      <c r="E88" s="48" t="s">
        <v>22</v>
      </c>
      <c r="F88" s="50" t="s">
        <v>137</v>
      </c>
      <c r="G88" s="51">
        <v>21946.92</v>
      </c>
    </row>
    <row r="89" spans="1:7" s="46" customFormat="1" x14ac:dyDescent="0.25">
      <c r="A89" s="46" t="s">
        <v>78</v>
      </c>
      <c r="B89" s="47" t="s">
        <v>74</v>
      </c>
      <c r="C89" s="48" t="s">
        <v>72</v>
      </c>
      <c r="D89" s="49">
        <v>46261</v>
      </c>
      <c r="E89" s="48" t="s">
        <v>22</v>
      </c>
      <c r="F89" s="50" t="s">
        <v>138</v>
      </c>
      <c r="G89" s="51">
        <v>39072.97</v>
      </c>
    </row>
    <row r="90" spans="1:7" s="46" customFormat="1" x14ac:dyDescent="0.25">
      <c r="A90" s="46" t="s">
        <v>78</v>
      </c>
      <c r="B90" s="47" t="s">
        <v>74</v>
      </c>
      <c r="C90" s="48" t="s">
        <v>72</v>
      </c>
      <c r="D90" s="49">
        <v>46261</v>
      </c>
      <c r="E90" s="48" t="s">
        <v>22</v>
      </c>
      <c r="F90" s="50" t="s">
        <v>139</v>
      </c>
      <c r="G90" s="51">
        <v>21946.92</v>
      </c>
    </row>
    <row r="91" spans="1:7" s="46" customFormat="1" x14ac:dyDescent="0.25">
      <c r="A91" s="46" t="s">
        <v>78</v>
      </c>
      <c r="B91" s="47" t="s">
        <v>74</v>
      </c>
      <c r="C91" s="48" t="s">
        <v>72</v>
      </c>
      <c r="D91" s="49">
        <v>46262</v>
      </c>
      <c r="E91" s="48" t="s">
        <v>57</v>
      </c>
      <c r="F91" s="50" t="s">
        <v>165</v>
      </c>
      <c r="G91" s="51">
        <v>4125.8599999999997</v>
      </c>
    </row>
    <row r="92" spans="1:7" s="46" customFormat="1" x14ac:dyDescent="0.25">
      <c r="A92" s="46" t="s">
        <v>78</v>
      </c>
      <c r="B92" s="47" t="s">
        <v>74</v>
      </c>
      <c r="C92" s="48" t="s">
        <v>72</v>
      </c>
      <c r="D92" s="49">
        <v>46262</v>
      </c>
      <c r="E92" s="48" t="s">
        <v>31</v>
      </c>
      <c r="F92" s="50" t="s">
        <v>147</v>
      </c>
      <c r="G92" s="51">
        <v>6096.61</v>
      </c>
    </row>
    <row r="93" spans="1:7" s="46" customFormat="1" x14ac:dyDescent="0.25">
      <c r="A93" s="46" t="s">
        <v>78</v>
      </c>
      <c r="B93" s="47" t="s">
        <v>74</v>
      </c>
      <c r="C93" s="48" t="s">
        <v>72</v>
      </c>
      <c r="D93" s="49">
        <v>46262</v>
      </c>
      <c r="E93" s="53" t="s">
        <v>14</v>
      </c>
      <c r="F93" s="54" t="s">
        <v>216</v>
      </c>
      <c r="G93" s="55">
        <v>28470.2</v>
      </c>
    </row>
    <row r="94" spans="1:7" s="46" customFormat="1" x14ac:dyDescent="0.25">
      <c r="A94" s="46" t="s">
        <v>78</v>
      </c>
      <c r="B94" s="47" t="s">
        <v>74</v>
      </c>
      <c r="C94" s="53" t="s">
        <v>72</v>
      </c>
      <c r="D94" s="49">
        <v>46262</v>
      </c>
      <c r="E94" s="53" t="s">
        <v>39</v>
      </c>
      <c r="F94" s="54" t="s">
        <v>153</v>
      </c>
      <c r="G94" s="55">
        <v>21297.599999999999</v>
      </c>
    </row>
    <row r="95" spans="1:7" s="46" customFormat="1" x14ac:dyDescent="0.25">
      <c r="A95" s="46" t="s">
        <v>78</v>
      </c>
      <c r="B95" s="47" t="s">
        <v>74</v>
      </c>
      <c r="C95" s="53" t="s">
        <v>72</v>
      </c>
      <c r="D95" s="49">
        <v>46262</v>
      </c>
      <c r="E95" s="53" t="s">
        <v>19</v>
      </c>
      <c r="F95" s="54" t="s">
        <v>132</v>
      </c>
      <c r="G95" s="55">
        <v>66184.179999999993</v>
      </c>
    </row>
    <row r="96" spans="1:7" s="46" customFormat="1" x14ac:dyDescent="0.25">
      <c r="A96" s="46" t="s">
        <v>78</v>
      </c>
      <c r="B96" s="47" t="s">
        <v>74</v>
      </c>
      <c r="C96" s="53" t="s">
        <v>72</v>
      </c>
      <c r="D96" s="49">
        <v>46262</v>
      </c>
      <c r="E96" s="53" t="s">
        <v>12</v>
      </c>
      <c r="F96" s="54" t="s">
        <v>115</v>
      </c>
      <c r="G96" s="55">
        <v>75945</v>
      </c>
    </row>
    <row r="97" spans="1:19" s="56" customFormat="1" x14ac:dyDescent="0.25">
      <c r="A97" s="20" t="s">
        <v>80</v>
      </c>
      <c r="B97" s="21" t="s">
        <v>74</v>
      </c>
      <c r="C97" s="30" t="s">
        <v>72</v>
      </c>
      <c r="D97" s="22">
        <v>44069</v>
      </c>
      <c r="E97" s="30" t="s">
        <v>58</v>
      </c>
      <c r="F97" s="31" t="s">
        <v>206</v>
      </c>
      <c r="G97" s="18">
        <v>15291.36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s="56" customFormat="1" x14ac:dyDescent="0.25">
      <c r="A98" s="20" t="s">
        <v>80</v>
      </c>
      <c r="B98" s="21" t="s">
        <v>74</v>
      </c>
      <c r="C98" s="30" t="s">
        <v>72</v>
      </c>
      <c r="D98" s="22">
        <v>44071</v>
      </c>
      <c r="E98" s="30" t="s">
        <v>58</v>
      </c>
      <c r="F98" s="31" t="s">
        <v>207</v>
      </c>
      <c r="G98" s="18">
        <v>2340.4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s="56" customFormat="1" x14ac:dyDescent="0.25">
      <c r="A99" s="20" t="s">
        <v>80</v>
      </c>
      <c r="B99" s="21" t="s">
        <v>74</v>
      </c>
      <c r="C99" s="30" t="s">
        <v>72</v>
      </c>
      <c r="D99" s="22">
        <v>44117</v>
      </c>
      <c r="E99" s="30" t="s">
        <v>58</v>
      </c>
      <c r="F99" s="31" t="s">
        <v>209</v>
      </c>
      <c r="G99" s="18">
        <v>1681.68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s="56" customFormat="1" x14ac:dyDescent="0.25">
      <c r="A100" s="20" t="s">
        <v>80</v>
      </c>
      <c r="B100" s="21" t="s">
        <v>74</v>
      </c>
      <c r="C100" s="30" t="s">
        <v>72</v>
      </c>
      <c r="D100" s="22">
        <v>44117</v>
      </c>
      <c r="E100" s="30" t="s">
        <v>58</v>
      </c>
      <c r="F100" s="31" t="s">
        <v>208</v>
      </c>
      <c r="G100" s="18">
        <v>3139.5</v>
      </c>
      <c r="H100" s="32"/>
      <c r="I100" s="32"/>
      <c r="J100" s="32"/>
      <c r="K100" s="32"/>
      <c r="L100" s="32"/>
      <c r="M100" s="32"/>
      <c r="N100" s="32"/>
      <c r="O100" s="32"/>
      <c r="P100" s="20"/>
      <c r="Q100" s="20"/>
      <c r="R100" s="20"/>
      <c r="S100" s="20"/>
    </row>
    <row r="101" spans="1:19" s="56" customFormat="1" x14ac:dyDescent="0.25">
      <c r="A101" s="20" t="s">
        <v>80</v>
      </c>
      <c r="B101" s="21" t="s">
        <v>74</v>
      </c>
      <c r="C101" s="30" t="s">
        <v>72</v>
      </c>
      <c r="D101" s="22">
        <v>44117</v>
      </c>
      <c r="E101" s="30" t="s">
        <v>58</v>
      </c>
      <c r="F101" s="31" t="s">
        <v>203</v>
      </c>
      <c r="G101" s="18">
        <v>61786.31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s="56" customFormat="1" x14ac:dyDescent="0.25">
      <c r="A102" s="20" t="s">
        <v>80</v>
      </c>
      <c r="B102" s="21" t="s">
        <v>74</v>
      </c>
      <c r="C102" s="30" t="s">
        <v>72</v>
      </c>
      <c r="D102" s="22">
        <v>44244</v>
      </c>
      <c r="E102" s="30" t="s">
        <v>58</v>
      </c>
      <c r="F102" s="31" t="s">
        <v>204</v>
      </c>
      <c r="G102" s="18">
        <v>196162.53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s="56" customFormat="1" x14ac:dyDescent="0.25">
      <c r="A103" s="20" t="s">
        <v>80</v>
      </c>
      <c r="B103" s="21" t="s">
        <v>74</v>
      </c>
      <c r="C103" s="30" t="s">
        <v>72</v>
      </c>
      <c r="D103" s="22">
        <v>44279</v>
      </c>
      <c r="E103" s="30" t="s">
        <v>58</v>
      </c>
      <c r="F103" s="31" t="s">
        <v>205</v>
      </c>
      <c r="G103" s="18">
        <v>12377.57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s="56" customFormat="1" x14ac:dyDescent="0.25">
      <c r="A104" s="56" t="s">
        <v>80</v>
      </c>
      <c r="B104" s="57" t="s">
        <v>74</v>
      </c>
      <c r="C104" s="58" t="s">
        <v>72</v>
      </c>
      <c r="D104" s="59">
        <v>46167</v>
      </c>
      <c r="E104" s="58" t="s">
        <v>10</v>
      </c>
      <c r="F104" s="60" t="s">
        <v>175</v>
      </c>
      <c r="G104" s="61">
        <v>44856</v>
      </c>
    </row>
    <row r="105" spans="1:19" s="56" customFormat="1" x14ac:dyDescent="0.25">
      <c r="A105" s="56" t="s">
        <v>80</v>
      </c>
      <c r="B105" s="57" t="s">
        <v>74</v>
      </c>
      <c r="C105" s="58" t="s">
        <v>72</v>
      </c>
      <c r="D105" s="59">
        <v>46171</v>
      </c>
      <c r="E105" s="58" t="s">
        <v>55</v>
      </c>
      <c r="F105" s="60" t="s">
        <v>196</v>
      </c>
      <c r="G105" s="61">
        <v>48537.5</v>
      </c>
    </row>
    <row r="106" spans="1:19" s="56" customFormat="1" x14ac:dyDescent="0.25">
      <c r="A106" s="56" t="s">
        <v>80</v>
      </c>
      <c r="B106" s="57" t="s">
        <v>74</v>
      </c>
      <c r="C106" s="58" t="s">
        <v>72</v>
      </c>
      <c r="D106" s="59">
        <v>46203</v>
      </c>
      <c r="E106" s="58" t="s">
        <v>55</v>
      </c>
      <c r="F106" s="60" t="s">
        <v>202</v>
      </c>
      <c r="G106" s="61">
        <v>90750</v>
      </c>
    </row>
    <row r="107" spans="1:19" s="56" customFormat="1" x14ac:dyDescent="0.25">
      <c r="A107" s="56" t="s">
        <v>80</v>
      </c>
      <c r="B107" s="57" t="s">
        <v>74</v>
      </c>
      <c r="C107" s="58" t="s">
        <v>72</v>
      </c>
      <c r="D107" s="59">
        <v>46211</v>
      </c>
      <c r="E107" s="58" t="s">
        <v>55</v>
      </c>
      <c r="F107" s="60" t="s">
        <v>197</v>
      </c>
      <c r="G107" s="61">
        <v>26510</v>
      </c>
    </row>
    <row r="108" spans="1:19" s="56" customFormat="1" x14ac:dyDescent="0.25">
      <c r="A108" s="56" t="s">
        <v>80</v>
      </c>
      <c r="B108" s="57" t="s">
        <v>74</v>
      </c>
      <c r="C108" s="58" t="s">
        <v>72</v>
      </c>
      <c r="D108" s="59">
        <v>46217</v>
      </c>
      <c r="E108" s="58" t="s">
        <v>43</v>
      </c>
      <c r="F108" s="60" t="s">
        <v>188</v>
      </c>
      <c r="G108" s="61">
        <v>8327.82</v>
      </c>
    </row>
    <row r="109" spans="1:19" s="56" customFormat="1" x14ac:dyDescent="0.25">
      <c r="A109" s="56" t="s">
        <v>80</v>
      </c>
      <c r="B109" s="57" t="s">
        <v>74</v>
      </c>
      <c r="C109" s="58" t="s">
        <v>72</v>
      </c>
      <c r="D109" s="59">
        <v>46217</v>
      </c>
      <c r="E109" s="58" t="s">
        <v>43</v>
      </c>
      <c r="F109" s="60" t="s">
        <v>189</v>
      </c>
      <c r="G109" s="61">
        <v>64798.17</v>
      </c>
    </row>
    <row r="110" spans="1:19" s="56" customFormat="1" x14ac:dyDescent="0.25">
      <c r="A110" s="56" t="s">
        <v>80</v>
      </c>
      <c r="B110" s="57" t="s">
        <v>74</v>
      </c>
      <c r="C110" s="58" t="s">
        <v>72</v>
      </c>
      <c r="D110" s="59">
        <v>46223</v>
      </c>
      <c r="E110" s="58" t="s">
        <v>43</v>
      </c>
      <c r="F110" s="60" t="s">
        <v>190</v>
      </c>
      <c r="G110" s="61">
        <v>11999.24</v>
      </c>
    </row>
    <row r="111" spans="1:19" s="56" customFormat="1" x14ac:dyDescent="0.25">
      <c r="A111" s="56" t="s">
        <v>80</v>
      </c>
      <c r="B111" s="57" t="s">
        <v>74</v>
      </c>
      <c r="C111" s="58" t="s">
        <v>72</v>
      </c>
      <c r="D111" s="59">
        <v>46223</v>
      </c>
      <c r="E111" s="58" t="s">
        <v>43</v>
      </c>
      <c r="F111" s="60" t="s">
        <v>191</v>
      </c>
      <c r="G111" s="61">
        <v>64503.93</v>
      </c>
    </row>
    <row r="112" spans="1:19" s="56" customFormat="1" x14ac:dyDescent="0.25">
      <c r="A112" s="56" t="s">
        <v>80</v>
      </c>
      <c r="B112" s="57" t="s">
        <v>74</v>
      </c>
      <c r="C112" s="58" t="s">
        <v>72</v>
      </c>
      <c r="D112" s="59">
        <v>46225</v>
      </c>
      <c r="E112" s="58" t="s">
        <v>10</v>
      </c>
      <c r="F112" s="60" t="s">
        <v>176</v>
      </c>
      <c r="G112" s="61">
        <v>77784</v>
      </c>
    </row>
    <row r="113" spans="1:19" s="56" customFormat="1" x14ac:dyDescent="0.25">
      <c r="A113" s="56" t="s">
        <v>80</v>
      </c>
      <c r="B113" s="57" t="s">
        <v>74</v>
      </c>
      <c r="C113" s="58" t="s">
        <v>72</v>
      </c>
      <c r="D113" s="59">
        <v>46225</v>
      </c>
      <c r="E113" s="58" t="s">
        <v>55</v>
      </c>
      <c r="F113" s="60" t="s">
        <v>198</v>
      </c>
      <c r="G113" s="61">
        <v>51177.5</v>
      </c>
    </row>
    <row r="114" spans="1:19" s="56" customFormat="1" x14ac:dyDescent="0.25">
      <c r="A114" s="56" t="s">
        <v>80</v>
      </c>
      <c r="B114" s="57" t="s">
        <v>74</v>
      </c>
      <c r="C114" s="58" t="s">
        <v>72</v>
      </c>
      <c r="D114" s="59">
        <v>46225</v>
      </c>
      <c r="E114" s="58" t="s">
        <v>55</v>
      </c>
      <c r="F114" s="60" t="s">
        <v>199</v>
      </c>
      <c r="G114" s="61">
        <v>48537.5</v>
      </c>
    </row>
    <row r="115" spans="1:19" s="56" customFormat="1" x14ac:dyDescent="0.25">
      <c r="A115" s="56" t="s">
        <v>80</v>
      </c>
      <c r="B115" s="57" t="s">
        <v>74</v>
      </c>
      <c r="C115" s="58" t="s">
        <v>72</v>
      </c>
      <c r="D115" s="59">
        <v>46225</v>
      </c>
      <c r="E115" s="58" t="s">
        <v>43</v>
      </c>
      <c r="F115" s="60" t="s">
        <v>192</v>
      </c>
      <c r="G115" s="61">
        <v>44082.5</v>
      </c>
    </row>
    <row r="116" spans="1:19" s="56" customFormat="1" x14ac:dyDescent="0.25">
      <c r="A116" s="56" t="s">
        <v>80</v>
      </c>
      <c r="B116" s="57" t="s">
        <v>74</v>
      </c>
      <c r="C116" s="58" t="s">
        <v>72</v>
      </c>
      <c r="D116" s="59">
        <v>46225</v>
      </c>
      <c r="E116" s="58" t="s">
        <v>55</v>
      </c>
      <c r="F116" s="60" t="s">
        <v>200</v>
      </c>
      <c r="G116" s="61">
        <v>7260</v>
      </c>
    </row>
    <row r="117" spans="1:19" s="56" customFormat="1" x14ac:dyDescent="0.25">
      <c r="A117" s="56" t="s">
        <v>80</v>
      </c>
      <c r="B117" s="57" t="s">
        <v>74</v>
      </c>
      <c r="C117" s="58" t="s">
        <v>72</v>
      </c>
      <c r="D117" s="59">
        <v>46225</v>
      </c>
      <c r="E117" s="58" t="s">
        <v>43</v>
      </c>
      <c r="F117" s="60" t="s">
        <v>193</v>
      </c>
      <c r="G117" s="61">
        <v>45402.5</v>
      </c>
      <c r="H117" s="62"/>
      <c r="I117" s="62"/>
      <c r="J117" s="62"/>
      <c r="K117" s="62"/>
      <c r="L117" s="62"/>
      <c r="M117" s="62"/>
      <c r="N117" s="62"/>
      <c r="O117" s="62"/>
    </row>
    <row r="118" spans="1:19" s="56" customFormat="1" x14ac:dyDescent="0.25">
      <c r="A118" s="56" t="s">
        <v>80</v>
      </c>
      <c r="B118" s="57" t="s">
        <v>74</v>
      </c>
      <c r="C118" s="58" t="s">
        <v>72</v>
      </c>
      <c r="D118" s="59">
        <v>46226</v>
      </c>
      <c r="E118" s="58" t="s">
        <v>69</v>
      </c>
      <c r="F118" s="60" t="s">
        <v>210</v>
      </c>
      <c r="G118" s="61">
        <v>4400</v>
      </c>
    </row>
    <row r="119" spans="1:19" s="56" customFormat="1" x14ac:dyDescent="0.25">
      <c r="A119" s="56" t="s">
        <v>80</v>
      </c>
      <c r="B119" s="57" t="s">
        <v>74</v>
      </c>
      <c r="C119" s="58" t="s">
        <v>72</v>
      </c>
      <c r="D119" s="59">
        <v>46231</v>
      </c>
      <c r="E119" s="58" t="s">
        <v>43</v>
      </c>
      <c r="F119" s="60" t="s">
        <v>286</v>
      </c>
      <c r="G119" s="61">
        <v>46832.5</v>
      </c>
    </row>
    <row r="120" spans="1:19" s="56" customFormat="1" x14ac:dyDescent="0.25">
      <c r="A120" s="56" t="s">
        <v>80</v>
      </c>
      <c r="B120" s="57" t="s">
        <v>74</v>
      </c>
      <c r="C120" s="58" t="s">
        <v>72</v>
      </c>
      <c r="D120" s="59">
        <v>46231</v>
      </c>
      <c r="E120" s="58" t="s">
        <v>42</v>
      </c>
      <c r="F120" s="60" t="s">
        <v>186</v>
      </c>
      <c r="G120" s="61">
        <v>130584.02</v>
      </c>
    </row>
    <row r="121" spans="1:19" s="56" customFormat="1" x14ac:dyDescent="0.25">
      <c r="A121" s="56" t="s">
        <v>80</v>
      </c>
      <c r="B121" s="57" t="s">
        <v>74</v>
      </c>
      <c r="C121" s="58" t="s">
        <v>72</v>
      </c>
      <c r="D121" s="59">
        <v>46234</v>
      </c>
      <c r="E121" s="58" t="s">
        <v>10</v>
      </c>
      <c r="F121" s="60" t="s">
        <v>177</v>
      </c>
      <c r="G121" s="61">
        <v>39256</v>
      </c>
    </row>
    <row r="122" spans="1:19" s="56" customFormat="1" x14ac:dyDescent="0.25">
      <c r="A122" s="56" t="s">
        <v>80</v>
      </c>
      <c r="B122" s="57" t="s">
        <v>74</v>
      </c>
      <c r="C122" s="58" t="s">
        <v>72</v>
      </c>
      <c r="D122" s="59">
        <v>46234</v>
      </c>
      <c r="E122" s="58" t="s">
        <v>10</v>
      </c>
      <c r="F122" s="60" t="s">
        <v>217</v>
      </c>
      <c r="G122" s="61">
        <v>39256</v>
      </c>
    </row>
    <row r="123" spans="1:19" s="56" customFormat="1" x14ac:dyDescent="0.25">
      <c r="A123" s="56" t="s">
        <v>80</v>
      </c>
      <c r="B123" s="57" t="s">
        <v>74</v>
      </c>
      <c r="C123" s="58" t="s">
        <v>72</v>
      </c>
      <c r="D123" s="59">
        <v>46234</v>
      </c>
      <c r="E123" s="58" t="s">
        <v>55</v>
      </c>
      <c r="F123" s="60" t="s">
        <v>201</v>
      </c>
      <c r="G123" s="61">
        <v>48537.5</v>
      </c>
    </row>
    <row r="124" spans="1:19" s="56" customFormat="1" x14ac:dyDescent="0.25">
      <c r="A124" s="56" t="s">
        <v>80</v>
      </c>
      <c r="B124" s="57" t="s">
        <v>74</v>
      </c>
      <c r="C124" s="58" t="s">
        <v>72</v>
      </c>
      <c r="D124" s="59">
        <v>46234</v>
      </c>
      <c r="E124" s="58" t="s">
        <v>43</v>
      </c>
      <c r="F124" s="60" t="s">
        <v>287</v>
      </c>
      <c r="G124" s="61">
        <v>45732.5</v>
      </c>
      <c r="H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</row>
    <row r="125" spans="1:19" s="56" customFormat="1" x14ac:dyDescent="0.25">
      <c r="A125" s="56" t="s">
        <v>80</v>
      </c>
      <c r="B125" s="57" t="s">
        <v>74</v>
      </c>
      <c r="C125" s="58" t="s">
        <v>72</v>
      </c>
      <c r="D125" s="59">
        <v>46240</v>
      </c>
      <c r="E125" s="58" t="s">
        <v>43</v>
      </c>
      <c r="F125" s="60" t="s">
        <v>288</v>
      </c>
      <c r="G125" s="61">
        <v>2464</v>
      </c>
      <c r="H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</row>
    <row r="126" spans="1:19" s="56" customFormat="1" x14ac:dyDescent="0.25">
      <c r="A126" s="56" t="s">
        <v>80</v>
      </c>
      <c r="B126" s="57" t="s">
        <v>74</v>
      </c>
      <c r="C126" s="58" t="s">
        <v>72</v>
      </c>
      <c r="D126" s="59">
        <v>46248</v>
      </c>
      <c r="E126" s="58" t="s">
        <v>43</v>
      </c>
      <c r="F126" s="60" t="s">
        <v>194</v>
      </c>
      <c r="G126" s="61">
        <v>6710</v>
      </c>
      <c r="H126" s="62"/>
      <c r="I126" s="62"/>
      <c r="J126" s="62"/>
      <c r="K126" s="62"/>
      <c r="L126" s="62"/>
      <c r="M126" s="62"/>
      <c r="N126" s="62"/>
      <c r="O126" s="62"/>
    </row>
    <row r="127" spans="1:19" s="56" customFormat="1" x14ac:dyDescent="0.25">
      <c r="A127" s="56" t="s">
        <v>80</v>
      </c>
      <c r="B127" s="57" t="s">
        <v>74</v>
      </c>
      <c r="C127" s="58" t="s">
        <v>72</v>
      </c>
      <c r="D127" s="59">
        <v>46252</v>
      </c>
      <c r="E127" s="58" t="s">
        <v>30</v>
      </c>
      <c r="F127" s="60" t="s">
        <v>181</v>
      </c>
      <c r="G127" s="61">
        <v>50820</v>
      </c>
    </row>
    <row r="128" spans="1:19" s="56" customFormat="1" x14ac:dyDescent="0.25">
      <c r="A128" s="56" t="s">
        <v>80</v>
      </c>
      <c r="B128" s="57" t="s">
        <v>74</v>
      </c>
      <c r="C128" s="58" t="s">
        <v>72</v>
      </c>
      <c r="D128" s="59">
        <v>46258</v>
      </c>
      <c r="E128" s="58" t="s">
        <v>32</v>
      </c>
      <c r="F128" s="60" t="s">
        <v>182</v>
      </c>
      <c r="G128" s="61">
        <v>4900</v>
      </c>
    </row>
    <row r="129" spans="1:19" s="56" customFormat="1" x14ac:dyDescent="0.25">
      <c r="A129" s="56" t="s">
        <v>80</v>
      </c>
      <c r="B129" s="57" t="s">
        <v>74</v>
      </c>
      <c r="C129" s="58" t="s">
        <v>72</v>
      </c>
      <c r="D129" s="59">
        <v>46258</v>
      </c>
      <c r="E129" s="58" t="s">
        <v>10</v>
      </c>
      <c r="F129" s="60" t="s">
        <v>178</v>
      </c>
      <c r="G129" s="61">
        <v>39256</v>
      </c>
    </row>
    <row r="130" spans="1:19" s="20" customFormat="1" x14ac:dyDescent="0.25">
      <c r="A130" s="56" t="s">
        <v>80</v>
      </c>
      <c r="B130" s="57" t="s">
        <v>74</v>
      </c>
      <c r="C130" s="58" t="s">
        <v>72</v>
      </c>
      <c r="D130" s="59">
        <v>46258</v>
      </c>
      <c r="E130" s="58" t="s">
        <v>10</v>
      </c>
      <c r="F130" s="60" t="s">
        <v>179</v>
      </c>
      <c r="G130" s="61">
        <v>39256</v>
      </c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</row>
    <row r="131" spans="1:19" s="20" customFormat="1" x14ac:dyDescent="0.25">
      <c r="A131" s="56" t="s">
        <v>80</v>
      </c>
      <c r="B131" s="57" t="s">
        <v>74</v>
      </c>
      <c r="C131" s="58" t="s">
        <v>72</v>
      </c>
      <c r="D131" s="59">
        <v>46258</v>
      </c>
      <c r="E131" s="58" t="s">
        <v>10</v>
      </c>
      <c r="F131" s="60" t="s">
        <v>180</v>
      </c>
      <c r="G131" s="61">
        <v>77448</v>
      </c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</row>
    <row r="132" spans="1:19" s="20" customFormat="1" x14ac:dyDescent="0.25">
      <c r="A132" s="56" t="s">
        <v>80</v>
      </c>
      <c r="B132" s="57" t="s">
        <v>74</v>
      </c>
      <c r="C132" s="58" t="s">
        <v>72</v>
      </c>
      <c r="D132" s="59">
        <v>46261</v>
      </c>
      <c r="E132" s="58" t="s">
        <v>32</v>
      </c>
      <c r="F132" s="60" t="s">
        <v>185</v>
      </c>
      <c r="G132" s="61">
        <v>4900</v>
      </c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</row>
    <row r="133" spans="1:19" s="20" customFormat="1" x14ac:dyDescent="0.25">
      <c r="A133" s="56" t="s">
        <v>80</v>
      </c>
      <c r="B133" s="57" t="s">
        <v>74</v>
      </c>
      <c r="C133" s="58" t="s">
        <v>72</v>
      </c>
      <c r="D133" s="59">
        <v>46261</v>
      </c>
      <c r="E133" s="58" t="s">
        <v>42</v>
      </c>
      <c r="F133" s="60" t="s">
        <v>187</v>
      </c>
      <c r="G133" s="61">
        <v>71942.78</v>
      </c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</row>
    <row r="134" spans="1:19" s="20" customFormat="1" x14ac:dyDescent="0.25">
      <c r="A134" s="56" t="s">
        <v>80</v>
      </c>
      <c r="B134" s="57" t="s">
        <v>74</v>
      </c>
      <c r="C134" s="58" t="s">
        <v>72</v>
      </c>
      <c r="D134" s="59">
        <v>46262</v>
      </c>
      <c r="E134" s="58" t="s">
        <v>32</v>
      </c>
      <c r="F134" s="60" t="s">
        <v>183</v>
      </c>
      <c r="G134" s="61">
        <v>4900</v>
      </c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</row>
    <row r="135" spans="1:19" s="20" customFormat="1" x14ac:dyDescent="0.25">
      <c r="A135" s="56" t="s">
        <v>80</v>
      </c>
      <c r="B135" s="57" t="s">
        <v>74</v>
      </c>
      <c r="C135" s="58" t="s">
        <v>72</v>
      </c>
      <c r="D135" s="59">
        <v>46262</v>
      </c>
      <c r="E135" s="58" t="s">
        <v>32</v>
      </c>
      <c r="F135" s="60" t="s">
        <v>184</v>
      </c>
      <c r="G135" s="61">
        <v>4900</v>
      </c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</row>
    <row r="136" spans="1:19" s="20" customFormat="1" x14ac:dyDescent="0.25">
      <c r="A136" s="62" t="s">
        <v>80</v>
      </c>
      <c r="B136" s="57" t="s">
        <v>74</v>
      </c>
      <c r="C136" s="63" t="s">
        <v>72</v>
      </c>
      <c r="D136" s="59">
        <v>46262</v>
      </c>
      <c r="E136" s="63" t="s">
        <v>52</v>
      </c>
      <c r="F136" s="64" t="s">
        <v>195</v>
      </c>
      <c r="G136" s="65">
        <v>47547.5</v>
      </c>
      <c r="H136" s="62"/>
      <c r="I136" s="62"/>
      <c r="J136" s="62"/>
      <c r="K136" s="62"/>
      <c r="L136" s="62"/>
      <c r="M136" s="62"/>
      <c r="N136" s="62"/>
      <c r="O136" s="62"/>
      <c r="P136" s="56"/>
      <c r="Q136" s="56"/>
      <c r="R136" s="56"/>
      <c r="S136" s="56"/>
    </row>
    <row r="138" spans="1:19" x14ac:dyDescent="0.25">
      <c r="G138" s="29">
        <f>SUM(G3:G137)</f>
        <v>4495554.6021150006</v>
      </c>
    </row>
    <row r="141" spans="1:19" x14ac:dyDescent="0.25">
      <c r="H141" s="66"/>
      <c r="I141" s="66"/>
    </row>
    <row r="144" spans="1:19" x14ac:dyDescent="0.25">
      <c r="G144" s="19">
        <f>+G138+'AR-REIM'!G120</f>
        <v>16656508.314423002</v>
      </c>
    </row>
    <row r="145" spans="7:7" x14ac:dyDescent="0.25">
      <c r="G145" s="19" t="e">
        <f>+#REF!</f>
        <v>#REF!</v>
      </c>
    </row>
    <row r="146" spans="7:7" x14ac:dyDescent="0.25">
      <c r="G146" s="19" t="e">
        <f>+G144-G145</f>
        <v>#REF!</v>
      </c>
    </row>
  </sheetData>
  <sortState ref="A4:S24">
    <sortCondition ref="E4:E2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8FCF-F3BA-4F99-92BC-8960EE8BA2CA}">
  <dimension ref="A1:S120"/>
  <sheetViews>
    <sheetView workbookViewId="0">
      <pane ySplit="1" topLeftCell="A2" activePane="bottomLeft" state="frozen"/>
      <selection pane="bottomLeft" activeCell="I7" sqref="I7:J23"/>
    </sheetView>
  </sheetViews>
  <sheetFormatPr defaultRowHeight="12.75" x14ac:dyDescent="0.2"/>
  <cols>
    <col min="1" max="1" width="9.140625" style="74"/>
    <col min="2" max="2" width="23.5703125" style="6" bestFit="1" customWidth="1"/>
    <col min="3" max="3" width="13.85546875" style="11" bestFit="1" customWidth="1"/>
    <col min="4" max="4" width="10.140625" style="15" bestFit="1" customWidth="1"/>
    <col min="5" max="5" width="38.42578125" style="11" bestFit="1" customWidth="1"/>
    <col min="6" max="6" width="10.140625" style="88" bestFit="1" customWidth="1"/>
    <col min="7" max="7" width="19.7109375" style="80" bestFit="1" customWidth="1"/>
    <col min="8" max="8" width="9.85546875" style="74" bestFit="1" customWidth="1"/>
    <col min="9" max="9" width="9.140625" style="74"/>
    <col min="10" max="10" width="23" style="74" bestFit="1" customWidth="1"/>
    <col min="11" max="16384" width="9.140625" style="74"/>
  </cols>
  <sheetData>
    <row r="1" spans="1:10" s="1" customFormat="1" ht="15" x14ac:dyDescent="0.25">
      <c r="A1" s="23" t="s">
        <v>211</v>
      </c>
      <c r="B1" s="24" t="s">
        <v>212</v>
      </c>
      <c r="C1" s="25"/>
      <c r="D1" s="26" t="s">
        <v>0</v>
      </c>
      <c r="E1" s="25" t="s">
        <v>213</v>
      </c>
      <c r="F1" s="81" t="s">
        <v>214</v>
      </c>
      <c r="G1" s="28" t="s">
        <v>215</v>
      </c>
    </row>
    <row r="2" spans="1:10" x14ac:dyDescent="0.2">
      <c r="B2" s="2"/>
      <c r="C2" s="9"/>
      <c r="D2" s="13"/>
      <c r="E2" s="9"/>
      <c r="F2" s="82"/>
      <c r="G2" s="17"/>
    </row>
    <row r="3" spans="1:10" s="76" customFormat="1" x14ac:dyDescent="0.2">
      <c r="A3" s="76" t="s">
        <v>79</v>
      </c>
      <c r="B3" s="34" t="s">
        <v>75</v>
      </c>
      <c r="C3" s="35" t="s">
        <v>73</v>
      </c>
      <c r="D3" s="36">
        <v>45859</v>
      </c>
      <c r="E3" s="35" t="s">
        <v>67</v>
      </c>
      <c r="F3" s="85" t="s">
        <v>68</v>
      </c>
      <c r="G3" s="42">
        <v>20328</v>
      </c>
    </row>
    <row r="4" spans="1:10" s="76" customFormat="1" x14ac:dyDescent="0.2">
      <c r="A4" s="76" t="s">
        <v>79</v>
      </c>
      <c r="B4" s="34" t="s">
        <v>75</v>
      </c>
      <c r="C4" s="35" t="s">
        <v>73</v>
      </c>
      <c r="D4" s="36">
        <v>46251</v>
      </c>
      <c r="E4" s="35" t="s">
        <v>18</v>
      </c>
      <c r="F4" s="85" t="s">
        <v>218</v>
      </c>
      <c r="G4" s="42">
        <v>88286</v>
      </c>
    </row>
    <row r="5" spans="1:10" s="76" customFormat="1" x14ac:dyDescent="0.2">
      <c r="A5" s="76" t="s">
        <v>79</v>
      </c>
      <c r="B5" s="34" t="s">
        <v>75</v>
      </c>
      <c r="C5" s="35" t="s">
        <v>73</v>
      </c>
      <c r="D5" s="36">
        <v>46251</v>
      </c>
      <c r="E5" s="35" t="s">
        <v>18</v>
      </c>
      <c r="F5" s="85" t="s">
        <v>219</v>
      </c>
      <c r="G5" s="42">
        <v>85020</v>
      </c>
    </row>
    <row r="6" spans="1:10" s="76" customFormat="1" x14ac:dyDescent="0.2">
      <c r="A6" s="76" t="s">
        <v>79</v>
      </c>
      <c r="B6" s="34" t="s">
        <v>75</v>
      </c>
      <c r="C6" s="35" t="s">
        <v>73</v>
      </c>
      <c r="D6" s="36">
        <v>46184</v>
      </c>
      <c r="E6" s="35" t="s">
        <v>35</v>
      </c>
      <c r="F6" s="85" t="s">
        <v>36</v>
      </c>
      <c r="G6" s="42">
        <v>228131.02</v>
      </c>
    </row>
    <row r="7" spans="1:10" s="75" customFormat="1" x14ac:dyDescent="0.2">
      <c r="A7" s="76" t="s">
        <v>79</v>
      </c>
      <c r="B7" s="34" t="s">
        <v>75</v>
      </c>
      <c r="C7" s="35" t="s">
        <v>73</v>
      </c>
      <c r="D7" s="36">
        <v>46176</v>
      </c>
      <c r="E7" s="35" t="s">
        <v>76</v>
      </c>
      <c r="F7" s="85" t="s">
        <v>46</v>
      </c>
      <c r="G7" s="67">
        <f>2941.14*61.2513</f>
        <v>180148.64848199999</v>
      </c>
      <c r="H7" s="92">
        <v>2941.14</v>
      </c>
      <c r="I7" s="92">
        <v>61.251300000000001</v>
      </c>
      <c r="J7" s="75" t="s">
        <v>293</v>
      </c>
    </row>
    <row r="8" spans="1:10" s="75" customFormat="1" x14ac:dyDescent="0.2">
      <c r="A8" s="76" t="s">
        <v>79</v>
      </c>
      <c r="B8" s="34" t="s">
        <v>75</v>
      </c>
      <c r="C8" s="35" t="s">
        <v>73</v>
      </c>
      <c r="D8" s="36">
        <v>46176</v>
      </c>
      <c r="E8" s="35" t="s">
        <v>76</v>
      </c>
      <c r="F8" s="85" t="s">
        <v>47</v>
      </c>
      <c r="G8" s="67">
        <f>2838.1*61.2513</f>
        <v>173837.31453</v>
      </c>
      <c r="H8" s="92">
        <v>2838.1</v>
      </c>
      <c r="I8" s="92">
        <v>61.251300000000001</v>
      </c>
      <c r="J8" s="75" t="s">
        <v>293</v>
      </c>
    </row>
    <row r="9" spans="1:10" s="75" customFormat="1" x14ac:dyDescent="0.2">
      <c r="A9" s="76" t="s">
        <v>79</v>
      </c>
      <c r="B9" s="34" t="s">
        <v>75</v>
      </c>
      <c r="C9" s="39" t="s">
        <v>73</v>
      </c>
      <c r="D9" s="40">
        <v>46184</v>
      </c>
      <c r="E9" s="39" t="s">
        <v>76</v>
      </c>
      <c r="F9" s="86" t="s">
        <v>48</v>
      </c>
      <c r="G9" s="38">
        <v>234168.620004</v>
      </c>
      <c r="H9" s="92">
        <v>3823.08</v>
      </c>
      <c r="I9" s="92">
        <v>61.251300000000001</v>
      </c>
      <c r="J9" s="75" t="s">
        <v>293</v>
      </c>
    </row>
    <row r="10" spans="1:10" s="75" customFormat="1" x14ac:dyDescent="0.2">
      <c r="A10" s="76" t="s">
        <v>79</v>
      </c>
      <c r="B10" s="34" t="s">
        <v>75</v>
      </c>
      <c r="C10" s="39" t="s">
        <v>73</v>
      </c>
      <c r="D10" s="40">
        <v>46198</v>
      </c>
      <c r="E10" s="39" t="s">
        <v>76</v>
      </c>
      <c r="F10" s="86" t="s">
        <v>49</v>
      </c>
      <c r="G10" s="38">
        <v>190335.964698</v>
      </c>
      <c r="H10" s="92">
        <v>3107.46</v>
      </c>
      <c r="I10" s="92">
        <v>61.251300000000001</v>
      </c>
      <c r="J10" s="75" t="s">
        <v>293</v>
      </c>
    </row>
    <row r="11" spans="1:10" s="75" customFormat="1" x14ac:dyDescent="0.2">
      <c r="A11" s="76" t="s">
        <v>79</v>
      </c>
      <c r="B11" s="34" t="s">
        <v>75</v>
      </c>
      <c r="C11" s="39" t="s">
        <v>73</v>
      </c>
      <c r="D11" s="40">
        <v>46203</v>
      </c>
      <c r="E11" s="39" t="s">
        <v>76</v>
      </c>
      <c r="F11" s="86" t="s">
        <v>50</v>
      </c>
      <c r="G11" s="38">
        <v>299248.126254</v>
      </c>
      <c r="H11" s="92">
        <v>4885.58</v>
      </c>
      <c r="I11" s="92">
        <v>61.251300000000001</v>
      </c>
      <c r="J11" s="75" t="s">
        <v>293</v>
      </c>
    </row>
    <row r="12" spans="1:10" s="75" customFormat="1" x14ac:dyDescent="0.2">
      <c r="A12" s="76" t="s">
        <v>79</v>
      </c>
      <c r="B12" s="34" t="s">
        <v>75</v>
      </c>
      <c r="C12" s="39" t="s">
        <v>73</v>
      </c>
      <c r="D12" s="40">
        <v>46209</v>
      </c>
      <c r="E12" s="39" t="s">
        <v>76</v>
      </c>
      <c r="F12" s="86" t="s">
        <v>220</v>
      </c>
      <c r="G12" s="38">
        <v>215657.26978199999</v>
      </c>
      <c r="H12" s="92">
        <v>3501.14</v>
      </c>
      <c r="I12" s="92">
        <v>61.596299999999999</v>
      </c>
      <c r="J12" s="75" t="s">
        <v>293</v>
      </c>
    </row>
    <row r="13" spans="1:10" s="75" customFormat="1" x14ac:dyDescent="0.2">
      <c r="A13" s="76" t="s">
        <v>79</v>
      </c>
      <c r="B13" s="34" t="s">
        <v>75</v>
      </c>
      <c r="C13" s="39" t="s">
        <v>73</v>
      </c>
      <c r="D13" s="40">
        <v>46212</v>
      </c>
      <c r="E13" s="39" t="s">
        <v>76</v>
      </c>
      <c r="F13" s="86" t="s">
        <v>221</v>
      </c>
      <c r="G13" s="38">
        <v>314290.19304600003</v>
      </c>
      <c r="H13" s="92">
        <v>5102.42</v>
      </c>
      <c r="I13" s="92">
        <v>61.596299999999999</v>
      </c>
      <c r="J13" s="75" t="s">
        <v>293</v>
      </c>
    </row>
    <row r="14" spans="1:10" s="75" customFormat="1" x14ac:dyDescent="0.2">
      <c r="A14" s="76" t="s">
        <v>79</v>
      </c>
      <c r="B14" s="34" t="s">
        <v>75</v>
      </c>
      <c r="C14" s="39" t="s">
        <v>73</v>
      </c>
      <c r="D14" s="40">
        <v>46218</v>
      </c>
      <c r="E14" s="39" t="s">
        <v>76</v>
      </c>
      <c r="F14" s="86" t="s">
        <v>222</v>
      </c>
      <c r="G14" s="38">
        <v>254536.85434200001</v>
      </c>
      <c r="H14" s="92">
        <v>4132.34</v>
      </c>
      <c r="I14" s="92">
        <v>61.596299999999999</v>
      </c>
      <c r="J14" s="75" t="s">
        <v>293</v>
      </c>
    </row>
    <row r="15" spans="1:10" s="75" customFormat="1" x14ac:dyDescent="0.2">
      <c r="A15" s="76" t="s">
        <v>79</v>
      </c>
      <c r="B15" s="34" t="s">
        <v>75</v>
      </c>
      <c r="C15" s="39" t="s">
        <v>73</v>
      </c>
      <c r="D15" s="40">
        <v>46226</v>
      </c>
      <c r="E15" s="39" t="s">
        <v>76</v>
      </c>
      <c r="F15" s="86" t="s">
        <v>223</v>
      </c>
      <c r="G15" s="38">
        <v>198930.794517</v>
      </c>
      <c r="H15" s="92">
        <v>3229.59</v>
      </c>
      <c r="I15" s="92">
        <v>61.596299999999999</v>
      </c>
      <c r="J15" s="75" t="s">
        <v>293</v>
      </c>
    </row>
    <row r="16" spans="1:10" s="75" customFormat="1" x14ac:dyDescent="0.2">
      <c r="A16" s="76" t="s">
        <v>79</v>
      </c>
      <c r="B16" s="34" t="s">
        <v>75</v>
      </c>
      <c r="C16" s="39" t="s">
        <v>73</v>
      </c>
      <c r="D16" s="40">
        <v>46233</v>
      </c>
      <c r="E16" s="39" t="s">
        <v>76</v>
      </c>
      <c r="F16" s="86" t="s">
        <v>224</v>
      </c>
      <c r="G16" s="38">
        <v>224579.49383699999</v>
      </c>
      <c r="H16" s="92">
        <v>3645.99</v>
      </c>
      <c r="I16" s="92">
        <v>61.596299999999999</v>
      </c>
      <c r="J16" s="75" t="s">
        <v>293</v>
      </c>
    </row>
    <row r="17" spans="1:10" s="75" customFormat="1" x14ac:dyDescent="0.2">
      <c r="A17" s="76" t="s">
        <v>79</v>
      </c>
      <c r="B17" s="34" t="s">
        <v>75</v>
      </c>
      <c r="C17" s="39" t="s">
        <v>73</v>
      </c>
      <c r="D17" s="40">
        <v>46240</v>
      </c>
      <c r="E17" s="39" t="s">
        <v>76</v>
      </c>
      <c r="F17" s="86" t="s">
        <v>225</v>
      </c>
      <c r="G17" s="38">
        <v>244248.35746500001</v>
      </c>
      <c r="H17" s="92">
        <v>3982.65</v>
      </c>
      <c r="I17" s="92">
        <v>61.328000000000003</v>
      </c>
      <c r="J17" s="75" t="s">
        <v>293</v>
      </c>
    </row>
    <row r="18" spans="1:10" s="75" customFormat="1" x14ac:dyDescent="0.2">
      <c r="A18" s="76" t="s">
        <v>79</v>
      </c>
      <c r="B18" s="34" t="s">
        <v>75</v>
      </c>
      <c r="C18" s="39" t="s">
        <v>73</v>
      </c>
      <c r="D18" s="40">
        <v>46248</v>
      </c>
      <c r="E18" s="39" t="s">
        <v>76</v>
      </c>
      <c r="F18" s="86" t="s">
        <v>226</v>
      </c>
      <c r="G18" s="38">
        <v>177593.91198</v>
      </c>
      <c r="H18" s="92">
        <v>2895.8</v>
      </c>
      <c r="I18" s="92">
        <v>61.328000000000003</v>
      </c>
      <c r="J18" s="75" t="s">
        <v>293</v>
      </c>
    </row>
    <row r="19" spans="1:10" s="75" customFormat="1" x14ac:dyDescent="0.2">
      <c r="A19" s="76" t="s">
        <v>79</v>
      </c>
      <c r="B19" s="34" t="s">
        <v>75</v>
      </c>
      <c r="C19" s="39" t="s">
        <v>73</v>
      </c>
      <c r="D19" s="40">
        <v>46253</v>
      </c>
      <c r="E19" s="39" t="s">
        <v>76</v>
      </c>
      <c r="F19" s="86" t="s">
        <v>227</v>
      </c>
      <c r="G19" s="38">
        <v>279280.808028</v>
      </c>
      <c r="H19" s="92">
        <v>4553.88</v>
      </c>
      <c r="I19" s="92">
        <v>61.328000000000003</v>
      </c>
      <c r="J19" s="75" t="s">
        <v>293</v>
      </c>
    </row>
    <row r="20" spans="1:10" s="75" customFormat="1" x14ac:dyDescent="0.2">
      <c r="A20" s="76" t="s">
        <v>79</v>
      </c>
      <c r="B20" s="34" t="s">
        <v>75</v>
      </c>
      <c r="C20" s="39" t="s">
        <v>73</v>
      </c>
      <c r="D20" s="40">
        <v>46253</v>
      </c>
      <c r="E20" s="39" t="s">
        <v>76</v>
      </c>
      <c r="F20" s="86" t="s">
        <v>228</v>
      </c>
      <c r="G20" s="38">
        <v>188960.462034</v>
      </c>
      <c r="H20" s="92">
        <v>3081.14</v>
      </c>
      <c r="I20" s="92">
        <v>61.328000000000003</v>
      </c>
      <c r="J20" s="75" t="s">
        <v>293</v>
      </c>
    </row>
    <row r="21" spans="1:10" s="75" customFormat="1" x14ac:dyDescent="0.2">
      <c r="A21" s="76" t="s">
        <v>79</v>
      </c>
      <c r="B21" s="34" t="s">
        <v>75</v>
      </c>
      <c r="C21" s="39" t="s">
        <v>73</v>
      </c>
      <c r="D21" s="40">
        <v>46262</v>
      </c>
      <c r="E21" s="39" t="s">
        <v>76</v>
      </c>
      <c r="F21" s="86" t="s">
        <v>229</v>
      </c>
      <c r="G21" s="38">
        <v>290042.04973500001</v>
      </c>
      <c r="H21" s="92">
        <v>4729.3500000000004</v>
      </c>
      <c r="I21" s="92">
        <v>61.328000000000003</v>
      </c>
      <c r="J21" s="75" t="s">
        <v>293</v>
      </c>
    </row>
    <row r="22" spans="1:10" s="75" customFormat="1" x14ac:dyDescent="0.2">
      <c r="A22" s="76" t="s">
        <v>79</v>
      </c>
      <c r="B22" s="34" t="s">
        <v>75</v>
      </c>
      <c r="C22" s="39" t="s">
        <v>73</v>
      </c>
      <c r="D22" s="40">
        <v>46262</v>
      </c>
      <c r="E22" s="39" t="s">
        <v>76</v>
      </c>
      <c r="F22" s="86" t="s">
        <v>230</v>
      </c>
      <c r="G22" s="38">
        <v>285997.46153999999</v>
      </c>
      <c r="H22" s="92">
        <v>4663.3999999999996</v>
      </c>
      <c r="I22" s="92">
        <v>61.328000000000003</v>
      </c>
      <c r="J22" s="75" t="s">
        <v>293</v>
      </c>
    </row>
    <row r="23" spans="1:10" s="75" customFormat="1" x14ac:dyDescent="0.2">
      <c r="A23" s="76" t="s">
        <v>79</v>
      </c>
      <c r="B23" s="34" t="s">
        <v>75</v>
      </c>
      <c r="C23" s="39" t="s">
        <v>73</v>
      </c>
      <c r="D23" s="40">
        <v>46262</v>
      </c>
      <c r="E23" s="39" t="s">
        <v>76</v>
      </c>
      <c r="F23" s="86" t="s">
        <v>231</v>
      </c>
      <c r="G23" s="38">
        <v>188960.462034</v>
      </c>
      <c r="H23" s="92">
        <v>3081.14</v>
      </c>
      <c r="I23" s="92">
        <v>61.328000000000003</v>
      </c>
      <c r="J23" s="75" t="s">
        <v>293</v>
      </c>
    </row>
    <row r="24" spans="1:10" s="76" customFormat="1" x14ac:dyDescent="0.2">
      <c r="A24" s="76" t="s">
        <v>79</v>
      </c>
      <c r="B24" s="34" t="s">
        <v>75</v>
      </c>
      <c r="C24" s="43" t="s">
        <v>73</v>
      </c>
      <c r="D24" s="36">
        <v>46262</v>
      </c>
      <c r="E24" s="43" t="s">
        <v>71</v>
      </c>
      <c r="F24" s="85" t="s">
        <v>232</v>
      </c>
      <c r="G24" s="45">
        <v>447023.13</v>
      </c>
    </row>
    <row r="25" spans="1:10" s="77" customFormat="1" x14ac:dyDescent="0.2">
      <c r="A25" s="77" t="s">
        <v>78</v>
      </c>
      <c r="B25" s="47" t="s">
        <v>75</v>
      </c>
      <c r="C25" s="48" t="s">
        <v>73</v>
      </c>
      <c r="D25" s="49">
        <v>46112</v>
      </c>
      <c r="E25" s="48" t="s">
        <v>3</v>
      </c>
      <c r="F25" s="83" t="s">
        <v>4</v>
      </c>
      <c r="G25" s="51">
        <v>97232.21</v>
      </c>
    </row>
    <row r="26" spans="1:10" s="77" customFormat="1" x14ac:dyDescent="0.2">
      <c r="A26" s="77" t="s">
        <v>78</v>
      </c>
      <c r="B26" s="47" t="s">
        <v>75</v>
      </c>
      <c r="C26" s="48" t="s">
        <v>73</v>
      </c>
      <c r="D26" s="49">
        <v>46142</v>
      </c>
      <c r="E26" s="48" t="s">
        <v>3</v>
      </c>
      <c r="F26" s="83" t="s">
        <v>5</v>
      </c>
      <c r="G26" s="51">
        <v>50323.19</v>
      </c>
    </row>
    <row r="27" spans="1:10" s="77" customFormat="1" x14ac:dyDescent="0.2">
      <c r="A27" s="77" t="s">
        <v>78</v>
      </c>
      <c r="B27" s="47" t="s">
        <v>75</v>
      </c>
      <c r="C27" s="48" t="s">
        <v>73</v>
      </c>
      <c r="D27" s="49">
        <v>46156</v>
      </c>
      <c r="E27" s="48" t="s">
        <v>3</v>
      </c>
      <c r="F27" s="83" t="s">
        <v>6</v>
      </c>
      <c r="G27" s="51">
        <v>108627.78</v>
      </c>
    </row>
    <row r="28" spans="1:10" s="77" customFormat="1" x14ac:dyDescent="0.2">
      <c r="A28" s="77" t="s">
        <v>78</v>
      </c>
      <c r="B28" s="47" t="s">
        <v>75</v>
      </c>
      <c r="C28" s="48" t="s">
        <v>73</v>
      </c>
      <c r="D28" s="49">
        <v>46170</v>
      </c>
      <c r="E28" s="48" t="s">
        <v>3</v>
      </c>
      <c r="F28" s="83" t="s">
        <v>7</v>
      </c>
      <c r="G28" s="51">
        <v>74949.490000000005</v>
      </c>
    </row>
    <row r="29" spans="1:10" s="77" customFormat="1" x14ac:dyDescent="0.2">
      <c r="A29" s="77" t="s">
        <v>78</v>
      </c>
      <c r="B29" s="47" t="s">
        <v>75</v>
      </c>
      <c r="C29" s="48" t="s">
        <v>73</v>
      </c>
      <c r="D29" s="49">
        <v>46170</v>
      </c>
      <c r="E29" s="48" t="s">
        <v>3</v>
      </c>
      <c r="F29" s="83" t="s">
        <v>8</v>
      </c>
      <c r="G29" s="51">
        <v>118758.53</v>
      </c>
    </row>
    <row r="30" spans="1:10" s="77" customFormat="1" x14ac:dyDescent="0.2">
      <c r="A30" s="77" t="s">
        <v>78</v>
      </c>
      <c r="B30" s="47" t="s">
        <v>75</v>
      </c>
      <c r="C30" s="48" t="s">
        <v>73</v>
      </c>
      <c r="D30" s="49">
        <v>46183</v>
      </c>
      <c r="E30" s="48" t="s">
        <v>25</v>
      </c>
      <c r="F30" s="83" t="s">
        <v>26</v>
      </c>
      <c r="G30" s="51">
        <v>203976.88</v>
      </c>
    </row>
    <row r="31" spans="1:10" s="77" customFormat="1" x14ac:dyDescent="0.2">
      <c r="A31" s="77" t="s">
        <v>78</v>
      </c>
      <c r="B31" s="47" t="s">
        <v>75</v>
      </c>
      <c r="C31" s="48" t="s">
        <v>73</v>
      </c>
      <c r="D31" s="49">
        <v>46189</v>
      </c>
      <c r="E31" s="48" t="s">
        <v>14</v>
      </c>
      <c r="F31" s="83" t="s">
        <v>15</v>
      </c>
      <c r="G31" s="51">
        <v>81821.5</v>
      </c>
    </row>
    <row r="32" spans="1:10" s="77" customFormat="1" x14ac:dyDescent="0.2">
      <c r="A32" s="77" t="s">
        <v>78</v>
      </c>
      <c r="B32" s="47" t="s">
        <v>75</v>
      </c>
      <c r="C32" s="48" t="s">
        <v>73</v>
      </c>
      <c r="D32" s="49">
        <v>46191</v>
      </c>
      <c r="E32" s="48" t="s">
        <v>28</v>
      </c>
      <c r="F32" s="83" t="s">
        <v>29</v>
      </c>
      <c r="G32" s="51">
        <v>9969.33</v>
      </c>
    </row>
    <row r="33" spans="1:7" s="77" customFormat="1" x14ac:dyDescent="0.2">
      <c r="A33" s="77" t="s">
        <v>78</v>
      </c>
      <c r="B33" s="47" t="s">
        <v>75</v>
      </c>
      <c r="C33" s="48" t="s">
        <v>73</v>
      </c>
      <c r="D33" s="49">
        <v>46192</v>
      </c>
      <c r="E33" s="48" t="s">
        <v>3</v>
      </c>
      <c r="F33" s="83" t="s">
        <v>9</v>
      </c>
      <c r="G33" s="51">
        <v>158983.57999999999</v>
      </c>
    </row>
    <row r="34" spans="1:7" s="77" customFormat="1" x14ac:dyDescent="0.2">
      <c r="A34" s="77" t="s">
        <v>78</v>
      </c>
      <c r="B34" s="47" t="s">
        <v>75</v>
      </c>
      <c r="C34" s="48" t="s">
        <v>73</v>
      </c>
      <c r="D34" s="49">
        <v>46197</v>
      </c>
      <c r="E34" s="48" t="s">
        <v>14</v>
      </c>
      <c r="F34" s="83" t="s">
        <v>16</v>
      </c>
      <c r="G34" s="51">
        <v>48320.44</v>
      </c>
    </row>
    <row r="35" spans="1:7" s="77" customFormat="1" x14ac:dyDescent="0.2">
      <c r="A35" s="77" t="s">
        <v>78</v>
      </c>
      <c r="B35" s="47" t="s">
        <v>75</v>
      </c>
      <c r="C35" s="48" t="s">
        <v>73</v>
      </c>
      <c r="D35" s="49">
        <v>46202</v>
      </c>
      <c r="E35" s="48" t="s">
        <v>14</v>
      </c>
      <c r="F35" s="83" t="s">
        <v>17</v>
      </c>
      <c r="G35" s="51">
        <v>17163.900000000001</v>
      </c>
    </row>
    <row r="36" spans="1:7" s="77" customFormat="1" x14ac:dyDescent="0.2">
      <c r="A36" s="77" t="s">
        <v>78</v>
      </c>
      <c r="B36" s="47" t="s">
        <v>75</v>
      </c>
      <c r="C36" s="48" t="s">
        <v>73</v>
      </c>
      <c r="D36" s="49">
        <v>46209</v>
      </c>
      <c r="E36" s="48" t="s">
        <v>14</v>
      </c>
      <c r="F36" s="83" t="s">
        <v>241</v>
      </c>
      <c r="G36" s="51">
        <v>136336.84</v>
      </c>
    </row>
    <row r="37" spans="1:7" s="77" customFormat="1" x14ac:dyDescent="0.2">
      <c r="A37" s="77" t="s">
        <v>78</v>
      </c>
      <c r="B37" s="47" t="s">
        <v>75</v>
      </c>
      <c r="C37" s="48" t="s">
        <v>73</v>
      </c>
      <c r="D37" s="49">
        <v>46209</v>
      </c>
      <c r="E37" s="48" t="s">
        <v>14</v>
      </c>
      <c r="F37" s="83" t="s">
        <v>242</v>
      </c>
      <c r="G37" s="51">
        <v>167315.32999999999</v>
      </c>
    </row>
    <row r="38" spans="1:7" s="77" customFormat="1" x14ac:dyDescent="0.2">
      <c r="A38" s="77" t="s">
        <v>78</v>
      </c>
      <c r="B38" s="47" t="s">
        <v>75</v>
      </c>
      <c r="C38" s="48" t="s">
        <v>73</v>
      </c>
      <c r="D38" s="49">
        <v>46212</v>
      </c>
      <c r="E38" s="48" t="s">
        <v>27</v>
      </c>
      <c r="F38" s="83" t="s">
        <v>258</v>
      </c>
      <c r="G38" s="51">
        <v>167864.78</v>
      </c>
    </row>
    <row r="39" spans="1:7" s="77" customFormat="1" x14ac:dyDescent="0.2">
      <c r="A39" s="77" t="s">
        <v>78</v>
      </c>
      <c r="B39" s="47" t="s">
        <v>75</v>
      </c>
      <c r="C39" s="48" t="s">
        <v>73</v>
      </c>
      <c r="D39" s="49">
        <v>46216</v>
      </c>
      <c r="E39" s="48" t="s">
        <v>2</v>
      </c>
      <c r="F39" s="83" t="s">
        <v>234</v>
      </c>
      <c r="G39" s="51">
        <v>68562.91</v>
      </c>
    </row>
    <row r="40" spans="1:7" s="77" customFormat="1" x14ac:dyDescent="0.2">
      <c r="A40" s="77" t="s">
        <v>78</v>
      </c>
      <c r="B40" s="47" t="s">
        <v>75</v>
      </c>
      <c r="C40" s="48" t="s">
        <v>73</v>
      </c>
      <c r="D40" s="49">
        <v>46216</v>
      </c>
      <c r="E40" s="48" t="s">
        <v>14</v>
      </c>
      <c r="F40" s="83" t="s">
        <v>243</v>
      </c>
      <c r="G40" s="51">
        <v>132796.57</v>
      </c>
    </row>
    <row r="41" spans="1:7" s="77" customFormat="1" x14ac:dyDescent="0.2">
      <c r="A41" s="77" t="s">
        <v>78</v>
      </c>
      <c r="B41" s="47" t="s">
        <v>75</v>
      </c>
      <c r="C41" s="48" t="s">
        <v>73</v>
      </c>
      <c r="D41" s="49">
        <v>46219</v>
      </c>
      <c r="E41" s="48" t="s">
        <v>14</v>
      </c>
      <c r="F41" s="83" t="s">
        <v>244</v>
      </c>
      <c r="G41" s="51">
        <v>58604.72</v>
      </c>
    </row>
    <row r="42" spans="1:7" s="77" customFormat="1" x14ac:dyDescent="0.2">
      <c r="A42" s="77" t="s">
        <v>78</v>
      </c>
      <c r="B42" s="47" t="s">
        <v>75</v>
      </c>
      <c r="C42" s="48" t="s">
        <v>73</v>
      </c>
      <c r="D42" s="49">
        <v>46219</v>
      </c>
      <c r="E42" s="48" t="s">
        <v>14</v>
      </c>
      <c r="F42" s="83" t="s">
        <v>245</v>
      </c>
      <c r="G42" s="51">
        <v>7089.48</v>
      </c>
    </row>
    <row r="43" spans="1:7" s="77" customFormat="1" x14ac:dyDescent="0.2">
      <c r="A43" s="77" t="s">
        <v>78</v>
      </c>
      <c r="B43" s="47" t="s">
        <v>75</v>
      </c>
      <c r="C43" s="48" t="s">
        <v>73</v>
      </c>
      <c r="D43" s="49">
        <v>46223</v>
      </c>
      <c r="E43" s="48" t="s">
        <v>14</v>
      </c>
      <c r="F43" s="83" t="s">
        <v>246</v>
      </c>
      <c r="G43" s="51">
        <v>158921.29999999999</v>
      </c>
    </row>
    <row r="44" spans="1:7" s="77" customFormat="1" x14ac:dyDescent="0.2">
      <c r="A44" s="77" t="s">
        <v>78</v>
      </c>
      <c r="B44" s="47" t="s">
        <v>75</v>
      </c>
      <c r="C44" s="48" t="s">
        <v>73</v>
      </c>
      <c r="D44" s="49">
        <v>46225</v>
      </c>
      <c r="E44" s="48" t="s">
        <v>14</v>
      </c>
      <c r="F44" s="83" t="s">
        <v>247</v>
      </c>
      <c r="G44" s="51">
        <v>66475.91</v>
      </c>
    </row>
    <row r="45" spans="1:7" s="77" customFormat="1" x14ac:dyDescent="0.2">
      <c r="A45" s="77" t="s">
        <v>78</v>
      </c>
      <c r="B45" s="47" t="s">
        <v>75</v>
      </c>
      <c r="C45" s="48" t="s">
        <v>73</v>
      </c>
      <c r="D45" s="49">
        <v>46225</v>
      </c>
      <c r="E45" s="48" t="s">
        <v>38</v>
      </c>
      <c r="F45" s="83" t="s">
        <v>261</v>
      </c>
      <c r="G45" s="51">
        <v>175755.78</v>
      </c>
    </row>
    <row r="46" spans="1:7" s="77" customFormat="1" x14ac:dyDescent="0.2">
      <c r="A46" s="77" t="s">
        <v>78</v>
      </c>
      <c r="B46" s="47" t="s">
        <v>75</v>
      </c>
      <c r="C46" s="48" t="s">
        <v>73</v>
      </c>
      <c r="D46" s="49">
        <v>46230</v>
      </c>
      <c r="E46" s="48" t="s">
        <v>41</v>
      </c>
      <c r="F46" s="83" t="s">
        <v>268</v>
      </c>
      <c r="G46" s="51">
        <v>47048.3</v>
      </c>
    </row>
    <row r="47" spans="1:7" s="77" customFormat="1" x14ac:dyDescent="0.2">
      <c r="A47" s="77" t="s">
        <v>78</v>
      </c>
      <c r="B47" s="47" t="s">
        <v>75</v>
      </c>
      <c r="C47" s="48" t="s">
        <v>73</v>
      </c>
      <c r="D47" s="49">
        <v>46231</v>
      </c>
      <c r="E47" s="48" t="s">
        <v>19</v>
      </c>
      <c r="F47" s="83" t="s">
        <v>250</v>
      </c>
      <c r="G47" s="51">
        <v>45660.89</v>
      </c>
    </row>
    <row r="48" spans="1:7" s="77" customFormat="1" x14ac:dyDescent="0.2">
      <c r="A48" s="77" t="s">
        <v>78</v>
      </c>
      <c r="B48" s="47" t="s">
        <v>75</v>
      </c>
      <c r="C48" s="48" t="s">
        <v>73</v>
      </c>
      <c r="D48" s="49">
        <v>46231</v>
      </c>
      <c r="E48" s="48" t="s">
        <v>27</v>
      </c>
      <c r="F48" s="83" t="s">
        <v>259</v>
      </c>
      <c r="G48" s="51">
        <v>152408.51</v>
      </c>
    </row>
    <row r="49" spans="1:7" s="77" customFormat="1" x14ac:dyDescent="0.2">
      <c r="A49" s="77" t="s">
        <v>78</v>
      </c>
      <c r="B49" s="47" t="s">
        <v>75</v>
      </c>
      <c r="C49" s="48" t="s">
        <v>73</v>
      </c>
      <c r="D49" s="49">
        <v>46232</v>
      </c>
      <c r="E49" s="48" t="s">
        <v>3</v>
      </c>
      <c r="F49" s="83" t="s">
        <v>235</v>
      </c>
      <c r="G49" s="51">
        <v>48645.77</v>
      </c>
    </row>
    <row r="50" spans="1:7" s="77" customFormat="1" x14ac:dyDescent="0.2">
      <c r="A50" s="77" t="s">
        <v>78</v>
      </c>
      <c r="B50" s="47" t="s">
        <v>75</v>
      </c>
      <c r="C50" s="48" t="s">
        <v>73</v>
      </c>
      <c r="D50" s="49">
        <v>46233</v>
      </c>
      <c r="E50" s="48" t="s">
        <v>1</v>
      </c>
      <c r="F50" s="83" t="s">
        <v>233</v>
      </c>
      <c r="G50" s="51">
        <v>70521.45</v>
      </c>
    </row>
    <row r="51" spans="1:7" s="77" customFormat="1" x14ac:dyDescent="0.2">
      <c r="A51" s="77" t="s">
        <v>78</v>
      </c>
      <c r="B51" s="47" t="s">
        <v>75</v>
      </c>
      <c r="C51" s="48" t="s">
        <v>73</v>
      </c>
      <c r="D51" s="49">
        <v>46233</v>
      </c>
      <c r="E51" s="48" t="s">
        <v>19</v>
      </c>
      <c r="F51" s="83" t="s">
        <v>251</v>
      </c>
      <c r="G51" s="51">
        <v>45660.89</v>
      </c>
    </row>
    <row r="52" spans="1:7" s="77" customFormat="1" x14ac:dyDescent="0.2">
      <c r="A52" s="77" t="s">
        <v>78</v>
      </c>
      <c r="B52" s="47" t="s">
        <v>75</v>
      </c>
      <c r="C52" s="48" t="s">
        <v>73</v>
      </c>
      <c r="D52" s="49">
        <v>46240</v>
      </c>
      <c r="E52" s="48" t="s">
        <v>21</v>
      </c>
      <c r="F52" s="83" t="s">
        <v>253</v>
      </c>
      <c r="G52" s="51">
        <v>25360.95</v>
      </c>
    </row>
    <row r="53" spans="1:7" s="77" customFormat="1" x14ac:dyDescent="0.2">
      <c r="A53" s="77" t="s">
        <v>78</v>
      </c>
      <c r="B53" s="47" t="s">
        <v>75</v>
      </c>
      <c r="C53" s="48" t="s">
        <v>73</v>
      </c>
      <c r="D53" s="49">
        <v>46245</v>
      </c>
      <c r="E53" s="48" t="s">
        <v>3</v>
      </c>
      <c r="F53" s="83" t="s">
        <v>236</v>
      </c>
      <c r="G53" s="51">
        <v>61959.93</v>
      </c>
    </row>
    <row r="54" spans="1:7" s="77" customFormat="1" x14ac:dyDescent="0.2">
      <c r="A54" s="77" t="s">
        <v>78</v>
      </c>
      <c r="B54" s="47" t="s">
        <v>75</v>
      </c>
      <c r="C54" s="48" t="s">
        <v>73</v>
      </c>
      <c r="D54" s="49">
        <v>46245</v>
      </c>
      <c r="E54" s="48" t="s">
        <v>14</v>
      </c>
      <c r="F54" s="83" t="s">
        <v>248</v>
      </c>
      <c r="G54" s="51">
        <v>53354.48</v>
      </c>
    </row>
    <row r="55" spans="1:7" s="77" customFormat="1" x14ac:dyDescent="0.2">
      <c r="A55" s="77" t="s">
        <v>78</v>
      </c>
      <c r="B55" s="47" t="s">
        <v>75</v>
      </c>
      <c r="C55" s="48" t="s">
        <v>73</v>
      </c>
      <c r="D55" s="49">
        <v>46245</v>
      </c>
      <c r="E55" s="48" t="s">
        <v>38</v>
      </c>
      <c r="F55" s="83" t="s">
        <v>262</v>
      </c>
      <c r="G55" s="51">
        <v>67441.5</v>
      </c>
    </row>
    <row r="56" spans="1:7" s="77" customFormat="1" x14ac:dyDescent="0.2">
      <c r="A56" s="77" t="s">
        <v>78</v>
      </c>
      <c r="B56" s="47" t="s">
        <v>75</v>
      </c>
      <c r="C56" s="48" t="s">
        <v>73</v>
      </c>
      <c r="D56" s="49">
        <v>46245</v>
      </c>
      <c r="E56" s="48" t="s">
        <v>40</v>
      </c>
      <c r="F56" s="83" t="s">
        <v>267</v>
      </c>
      <c r="G56" s="51">
        <v>13871.06</v>
      </c>
    </row>
    <row r="57" spans="1:7" s="77" customFormat="1" x14ac:dyDescent="0.2">
      <c r="A57" s="77" t="s">
        <v>78</v>
      </c>
      <c r="B57" s="47" t="s">
        <v>75</v>
      </c>
      <c r="C57" s="48" t="s">
        <v>73</v>
      </c>
      <c r="D57" s="49">
        <v>46245</v>
      </c>
      <c r="E57" s="48" t="s">
        <v>45</v>
      </c>
      <c r="F57" s="83" t="s">
        <v>269</v>
      </c>
      <c r="G57" s="51">
        <v>42324.14</v>
      </c>
    </row>
    <row r="58" spans="1:7" s="77" customFormat="1" x14ac:dyDescent="0.2">
      <c r="A58" s="77" t="s">
        <v>78</v>
      </c>
      <c r="B58" s="47" t="s">
        <v>75</v>
      </c>
      <c r="C58" s="48" t="s">
        <v>73</v>
      </c>
      <c r="D58" s="49">
        <v>46248</v>
      </c>
      <c r="E58" s="48" t="s">
        <v>14</v>
      </c>
      <c r="F58" s="83" t="s">
        <v>249</v>
      </c>
      <c r="G58" s="51">
        <v>81619.789999999994</v>
      </c>
    </row>
    <row r="59" spans="1:7" s="77" customFormat="1" x14ac:dyDescent="0.2">
      <c r="A59" s="77" t="s">
        <v>78</v>
      </c>
      <c r="B59" s="47" t="s">
        <v>75</v>
      </c>
      <c r="C59" s="48" t="s">
        <v>73</v>
      </c>
      <c r="D59" s="49">
        <v>46248</v>
      </c>
      <c r="E59" s="48" t="s">
        <v>39</v>
      </c>
      <c r="F59" s="83" t="s">
        <v>263</v>
      </c>
      <c r="G59" s="51">
        <v>3370.56</v>
      </c>
    </row>
    <row r="60" spans="1:7" s="77" customFormat="1" x14ac:dyDescent="0.2">
      <c r="A60" s="77" t="s">
        <v>78</v>
      </c>
      <c r="B60" s="47" t="s">
        <v>75</v>
      </c>
      <c r="C60" s="48" t="s">
        <v>73</v>
      </c>
      <c r="D60" s="49">
        <v>46248</v>
      </c>
      <c r="E60" s="48" t="s">
        <v>54</v>
      </c>
      <c r="F60" s="83" t="s">
        <v>272</v>
      </c>
      <c r="G60" s="51">
        <v>12290.05</v>
      </c>
    </row>
    <row r="61" spans="1:7" s="77" customFormat="1" x14ac:dyDescent="0.2">
      <c r="A61" s="77" t="s">
        <v>78</v>
      </c>
      <c r="B61" s="47" t="s">
        <v>75</v>
      </c>
      <c r="C61" s="48" t="s">
        <v>73</v>
      </c>
      <c r="D61" s="49">
        <v>46251</v>
      </c>
      <c r="E61" s="48" t="s">
        <v>24</v>
      </c>
      <c r="F61" s="83" t="s">
        <v>256</v>
      </c>
      <c r="G61" s="51">
        <v>29004.6</v>
      </c>
    </row>
    <row r="62" spans="1:7" s="77" customFormat="1" x14ac:dyDescent="0.2">
      <c r="A62" s="77" t="s">
        <v>78</v>
      </c>
      <c r="B62" s="47" t="s">
        <v>75</v>
      </c>
      <c r="C62" s="48" t="s">
        <v>73</v>
      </c>
      <c r="D62" s="49">
        <v>46252</v>
      </c>
      <c r="E62" s="48" t="s">
        <v>51</v>
      </c>
      <c r="F62" s="83" t="s">
        <v>270</v>
      </c>
      <c r="G62" s="51">
        <v>997009.2</v>
      </c>
    </row>
    <row r="63" spans="1:7" s="77" customFormat="1" x14ac:dyDescent="0.2">
      <c r="A63" s="77" t="s">
        <v>78</v>
      </c>
      <c r="B63" s="47" t="s">
        <v>75</v>
      </c>
      <c r="C63" s="48" t="s">
        <v>73</v>
      </c>
      <c r="D63" s="49">
        <v>46252</v>
      </c>
      <c r="E63" s="48" t="s">
        <v>51</v>
      </c>
      <c r="F63" s="83" t="s">
        <v>271</v>
      </c>
      <c r="G63" s="51">
        <v>253594.8</v>
      </c>
    </row>
    <row r="64" spans="1:7" s="77" customFormat="1" x14ac:dyDescent="0.2">
      <c r="A64" s="77" t="s">
        <v>78</v>
      </c>
      <c r="B64" s="47" t="s">
        <v>75</v>
      </c>
      <c r="C64" s="48" t="s">
        <v>73</v>
      </c>
      <c r="D64" s="49">
        <v>46254</v>
      </c>
      <c r="E64" s="48" t="s">
        <v>3</v>
      </c>
      <c r="F64" s="83" t="s">
        <v>237</v>
      </c>
      <c r="G64" s="51">
        <v>3497.97</v>
      </c>
    </row>
    <row r="65" spans="1:7" s="77" customFormat="1" x14ac:dyDescent="0.2">
      <c r="A65" s="77" t="s">
        <v>78</v>
      </c>
      <c r="B65" s="47" t="s">
        <v>75</v>
      </c>
      <c r="C65" s="48" t="s">
        <v>73</v>
      </c>
      <c r="D65" s="49">
        <v>46254</v>
      </c>
      <c r="E65" s="48" t="s">
        <v>3</v>
      </c>
      <c r="F65" s="83" t="s">
        <v>238</v>
      </c>
      <c r="G65" s="51">
        <v>50122.26</v>
      </c>
    </row>
    <row r="66" spans="1:7" s="77" customFormat="1" x14ac:dyDescent="0.2">
      <c r="A66" s="77" t="s">
        <v>78</v>
      </c>
      <c r="B66" s="47" t="s">
        <v>75</v>
      </c>
      <c r="C66" s="48" t="s">
        <v>73</v>
      </c>
      <c r="D66" s="49">
        <v>46258</v>
      </c>
      <c r="E66" s="48" t="s">
        <v>21</v>
      </c>
      <c r="F66" s="83" t="s">
        <v>254</v>
      </c>
      <c r="G66" s="51">
        <v>36700.32</v>
      </c>
    </row>
    <row r="67" spans="1:7" s="77" customFormat="1" x14ac:dyDescent="0.2">
      <c r="A67" s="77" t="s">
        <v>78</v>
      </c>
      <c r="B67" s="47" t="s">
        <v>75</v>
      </c>
      <c r="C67" s="48" t="s">
        <v>73</v>
      </c>
      <c r="D67" s="49">
        <v>46258</v>
      </c>
      <c r="E67" s="48" t="s">
        <v>23</v>
      </c>
      <c r="F67" s="83" t="s">
        <v>255</v>
      </c>
      <c r="G67" s="51">
        <v>24288</v>
      </c>
    </row>
    <row r="68" spans="1:7" s="77" customFormat="1" x14ac:dyDescent="0.2">
      <c r="A68" s="77" t="s">
        <v>78</v>
      </c>
      <c r="B68" s="47" t="s">
        <v>75</v>
      </c>
      <c r="C68" s="48" t="s">
        <v>73</v>
      </c>
      <c r="D68" s="49">
        <v>46258</v>
      </c>
      <c r="E68" s="48" t="s">
        <v>25</v>
      </c>
      <c r="F68" s="83" t="s">
        <v>257</v>
      </c>
      <c r="G68" s="51">
        <v>334688.46999999997</v>
      </c>
    </row>
    <row r="69" spans="1:7" s="77" customFormat="1" x14ac:dyDescent="0.2">
      <c r="A69" s="77" t="s">
        <v>78</v>
      </c>
      <c r="B69" s="47" t="s">
        <v>75</v>
      </c>
      <c r="C69" s="48" t="s">
        <v>73</v>
      </c>
      <c r="D69" s="49">
        <v>46258</v>
      </c>
      <c r="E69" s="48" t="s">
        <v>37</v>
      </c>
      <c r="F69" s="83" t="s">
        <v>260</v>
      </c>
      <c r="G69" s="51">
        <v>13586.34</v>
      </c>
    </row>
    <row r="70" spans="1:7" s="77" customFormat="1" x14ac:dyDescent="0.2">
      <c r="A70" s="77" t="s">
        <v>78</v>
      </c>
      <c r="B70" s="47" t="s">
        <v>75</v>
      </c>
      <c r="C70" s="48" t="s">
        <v>73</v>
      </c>
      <c r="D70" s="49">
        <v>46258</v>
      </c>
      <c r="E70" s="48" t="s">
        <v>39</v>
      </c>
      <c r="F70" s="83" t="s">
        <v>264</v>
      </c>
      <c r="G70" s="51">
        <v>65050</v>
      </c>
    </row>
    <row r="71" spans="1:7" s="77" customFormat="1" x14ac:dyDescent="0.2">
      <c r="A71" s="77" t="s">
        <v>78</v>
      </c>
      <c r="B71" s="47" t="s">
        <v>75</v>
      </c>
      <c r="C71" s="48" t="s">
        <v>73</v>
      </c>
      <c r="D71" s="49">
        <v>46258</v>
      </c>
      <c r="E71" s="48" t="s">
        <v>39</v>
      </c>
      <c r="F71" s="83" t="s">
        <v>265</v>
      </c>
      <c r="G71" s="51">
        <v>90176.57</v>
      </c>
    </row>
    <row r="72" spans="1:7" s="77" customFormat="1" x14ac:dyDescent="0.2">
      <c r="A72" s="77" t="s">
        <v>78</v>
      </c>
      <c r="B72" s="47" t="s">
        <v>75</v>
      </c>
      <c r="C72" s="48" t="s">
        <v>73</v>
      </c>
      <c r="D72" s="49">
        <v>46261</v>
      </c>
      <c r="E72" s="48" t="s">
        <v>13</v>
      </c>
      <c r="F72" s="83" t="s">
        <v>240</v>
      </c>
      <c r="G72" s="51">
        <v>43480.47</v>
      </c>
    </row>
    <row r="73" spans="1:7" s="77" customFormat="1" x14ac:dyDescent="0.2">
      <c r="A73" s="77" t="s">
        <v>78</v>
      </c>
      <c r="B73" s="47" t="s">
        <v>75</v>
      </c>
      <c r="C73" s="53" t="s">
        <v>73</v>
      </c>
      <c r="D73" s="49">
        <v>46262</v>
      </c>
      <c r="E73" s="53" t="s">
        <v>14</v>
      </c>
      <c r="F73" s="83" t="s">
        <v>130</v>
      </c>
      <c r="G73" s="55">
        <v>81929.320000000007</v>
      </c>
    </row>
    <row r="74" spans="1:7" s="77" customFormat="1" x14ac:dyDescent="0.2">
      <c r="A74" s="77" t="s">
        <v>78</v>
      </c>
      <c r="B74" s="47" t="s">
        <v>75</v>
      </c>
      <c r="C74" s="53" t="s">
        <v>73</v>
      </c>
      <c r="D74" s="49">
        <v>46262</v>
      </c>
      <c r="E74" s="53" t="s">
        <v>12</v>
      </c>
      <c r="F74" s="83" t="s">
        <v>239</v>
      </c>
      <c r="G74" s="55">
        <v>77485.78</v>
      </c>
    </row>
    <row r="75" spans="1:7" s="77" customFormat="1" x14ac:dyDescent="0.2">
      <c r="A75" s="77" t="s">
        <v>78</v>
      </c>
      <c r="B75" s="47" t="s">
        <v>75</v>
      </c>
      <c r="C75" s="53" t="s">
        <v>73</v>
      </c>
      <c r="D75" s="49">
        <v>46262</v>
      </c>
      <c r="E75" s="53" t="s">
        <v>19</v>
      </c>
      <c r="F75" s="83" t="s">
        <v>252</v>
      </c>
      <c r="G75" s="55">
        <v>99965.119999999995</v>
      </c>
    </row>
    <row r="76" spans="1:7" s="77" customFormat="1" x14ac:dyDescent="0.2">
      <c r="A76" s="77" t="s">
        <v>78</v>
      </c>
      <c r="B76" s="47" t="s">
        <v>75</v>
      </c>
      <c r="C76" s="53" t="s">
        <v>73</v>
      </c>
      <c r="D76" s="49">
        <v>46262</v>
      </c>
      <c r="E76" s="53" t="s">
        <v>39</v>
      </c>
      <c r="F76" s="83" t="s">
        <v>266</v>
      </c>
      <c r="G76" s="55">
        <v>9680.64</v>
      </c>
    </row>
    <row r="77" spans="1:7" s="78" customFormat="1" x14ac:dyDescent="0.2">
      <c r="A77" s="78" t="s">
        <v>80</v>
      </c>
      <c r="B77" s="68" t="s">
        <v>75</v>
      </c>
      <c r="C77" s="69" t="s">
        <v>73</v>
      </c>
      <c r="D77" s="70">
        <v>46107</v>
      </c>
      <c r="E77" s="69" t="s">
        <v>43</v>
      </c>
      <c r="F77" s="84" t="s">
        <v>44</v>
      </c>
      <c r="G77" s="71">
        <v>3360</v>
      </c>
    </row>
    <row r="78" spans="1:7" s="78" customFormat="1" x14ac:dyDescent="0.2">
      <c r="A78" s="78" t="s">
        <v>80</v>
      </c>
      <c r="B78" s="68" t="s">
        <v>75</v>
      </c>
      <c r="C78" s="69" t="s">
        <v>73</v>
      </c>
      <c r="D78" s="70">
        <v>46167</v>
      </c>
      <c r="E78" s="69" t="s">
        <v>10</v>
      </c>
      <c r="F78" s="84" t="s">
        <v>11</v>
      </c>
      <c r="G78" s="71">
        <v>18605.060000000001</v>
      </c>
    </row>
    <row r="79" spans="1:7" s="78" customFormat="1" x14ac:dyDescent="0.2">
      <c r="A79" s="78" t="s">
        <v>80</v>
      </c>
      <c r="B79" s="68" t="s">
        <v>75</v>
      </c>
      <c r="C79" s="69" t="s">
        <v>73</v>
      </c>
      <c r="D79" s="70">
        <v>46167</v>
      </c>
      <c r="E79" s="69" t="s">
        <v>55</v>
      </c>
      <c r="F79" s="84" t="s">
        <v>56</v>
      </c>
      <c r="G79" s="71">
        <v>40628.15</v>
      </c>
    </row>
    <row r="80" spans="1:7" s="78" customFormat="1" x14ac:dyDescent="0.2">
      <c r="A80" s="78" t="s">
        <v>80</v>
      </c>
      <c r="B80" s="68" t="s">
        <v>75</v>
      </c>
      <c r="C80" s="69" t="s">
        <v>73</v>
      </c>
      <c r="D80" s="70">
        <v>46181</v>
      </c>
      <c r="E80" s="69" t="s">
        <v>52</v>
      </c>
      <c r="F80" s="84" t="s">
        <v>53</v>
      </c>
      <c r="G80" s="71">
        <v>317.60000000000002</v>
      </c>
    </row>
    <row r="81" spans="1:19" s="78" customFormat="1" x14ac:dyDescent="0.2">
      <c r="A81" s="78" t="s">
        <v>80</v>
      </c>
      <c r="B81" s="68" t="s">
        <v>75</v>
      </c>
      <c r="C81" s="69" t="s">
        <v>73</v>
      </c>
      <c r="D81" s="70">
        <v>46217</v>
      </c>
      <c r="E81" s="69" t="s">
        <v>43</v>
      </c>
      <c r="F81" s="84" t="s">
        <v>222</v>
      </c>
      <c r="G81" s="71">
        <v>67844.25</v>
      </c>
    </row>
    <row r="82" spans="1:19" s="78" customFormat="1" x14ac:dyDescent="0.2">
      <c r="A82" s="78" t="s">
        <v>80</v>
      </c>
      <c r="B82" s="68" t="s">
        <v>75</v>
      </c>
      <c r="C82" s="69" t="s">
        <v>73</v>
      </c>
      <c r="D82" s="70">
        <v>46217</v>
      </c>
      <c r="E82" s="69" t="s">
        <v>43</v>
      </c>
      <c r="F82" s="84" t="s">
        <v>223</v>
      </c>
      <c r="G82" s="71">
        <v>109402.7</v>
      </c>
    </row>
    <row r="83" spans="1:19" s="78" customFormat="1" x14ac:dyDescent="0.2">
      <c r="A83" s="78" t="s">
        <v>80</v>
      </c>
      <c r="B83" s="68" t="s">
        <v>75</v>
      </c>
      <c r="C83" s="69" t="s">
        <v>73</v>
      </c>
      <c r="D83" s="70">
        <v>46223</v>
      </c>
      <c r="E83" s="69" t="s">
        <v>43</v>
      </c>
      <c r="F83" s="84" t="s">
        <v>226</v>
      </c>
      <c r="G83" s="71">
        <v>123659.6</v>
      </c>
    </row>
    <row r="84" spans="1:19" s="78" customFormat="1" x14ac:dyDescent="0.2">
      <c r="A84" s="78" t="s">
        <v>80</v>
      </c>
      <c r="B84" s="68" t="s">
        <v>75</v>
      </c>
      <c r="C84" s="69" t="s">
        <v>73</v>
      </c>
      <c r="D84" s="70">
        <v>46223</v>
      </c>
      <c r="E84" s="69" t="s">
        <v>43</v>
      </c>
      <c r="F84" s="84" t="s">
        <v>218</v>
      </c>
      <c r="G84" s="71">
        <v>94009.39</v>
      </c>
    </row>
    <row r="85" spans="1:19" s="78" customFormat="1" x14ac:dyDescent="0.2">
      <c r="A85" s="78" t="s">
        <v>80</v>
      </c>
      <c r="B85" s="68" t="s">
        <v>75</v>
      </c>
      <c r="C85" s="69" t="s">
        <v>73</v>
      </c>
      <c r="D85" s="70">
        <v>46225</v>
      </c>
      <c r="E85" s="69" t="s">
        <v>10</v>
      </c>
      <c r="F85" s="84" t="s">
        <v>219</v>
      </c>
      <c r="G85" s="71">
        <v>39252.22</v>
      </c>
    </row>
    <row r="86" spans="1:19" s="78" customFormat="1" x14ac:dyDescent="0.2">
      <c r="A86" s="78" t="s">
        <v>80</v>
      </c>
      <c r="B86" s="68" t="s">
        <v>75</v>
      </c>
      <c r="C86" s="69" t="s">
        <v>73</v>
      </c>
      <c r="D86" s="70">
        <v>46225</v>
      </c>
      <c r="E86" s="69" t="s">
        <v>10</v>
      </c>
      <c r="F86" s="84" t="s">
        <v>227</v>
      </c>
      <c r="G86" s="71">
        <v>26180.16</v>
      </c>
    </row>
    <row r="87" spans="1:19" s="78" customFormat="1" x14ac:dyDescent="0.2">
      <c r="A87" s="78" t="s">
        <v>80</v>
      </c>
      <c r="B87" s="68" t="s">
        <v>75</v>
      </c>
      <c r="C87" s="69" t="s">
        <v>73</v>
      </c>
      <c r="D87" s="70">
        <v>46225</v>
      </c>
      <c r="E87" s="69" t="s">
        <v>43</v>
      </c>
      <c r="F87" s="84" t="s">
        <v>229</v>
      </c>
      <c r="G87" s="71">
        <v>13589.22</v>
      </c>
    </row>
    <row r="88" spans="1:19" s="78" customFormat="1" x14ac:dyDescent="0.2">
      <c r="A88" s="78" t="s">
        <v>80</v>
      </c>
      <c r="B88" s="68" t="s">
        <v>75</v>
      </c>
      <c r="C88" s="69" t="s">
        <v>73</v>
      </c>
      <c r="D88" s="70">
        <v>46225</v>
      </c>
      <c r="E88" s="69" t="s">
        <v>43</v>
      </c>
      <c r="F88" s="84" t="s">
        <v>231</v>
      </c>
      <c r="G88" s="71">
        <v>44319.55</v>
      </c>
    </row>
    <row r="89" spans="1:19" s="78" customFormat="1" x14ac:dyDescent="0.2">
      <c r="A89" s="78" t="s">
        <v>80</v>
      </c>
      <c r="B89" s="68" t="s">
        <v>75</v>
      </c>
      <c r="C89" s="69" t="s">
        <v>73</v>
      </c>
      <c r="D89" s="70">
        <v>46225</v>
      </c>
      <c r="E89" s="69" t="s">
        <v>55</v>
      </c>
      <c r="F89" s="84" t="s">
        <v>228</v>
      </c>
      <c r="G89" s="71">
        <v>48634.34</v>
      </c>
    </row>
    <row r="90" spans="1:19" s="78" customFormat="1" x14ac:dyDescent="0.2">
      <c r="A90" s="78" t="s">
        <v>80</v>
      </c>
      <c r="B90" s="68" t="s">
        <v>75</v>
      </c>
      <c r="C90" s="69" t="s">
        <v>73</v>
      </c>
      <c r="D90" s="70">
        <v>46225</v>
      </c>
      <c r="E90" s="69" t="s">
        <v>55</v>
      </c>
      <c r="F90" s="84" t="s">
        <v>232</v>
      </c>
      <c r="G90" s="71">
        <v>48413.66</v>
      </c>
    </row>
    <row r="91" spans="1:19" s="78" customFormat="1" x14ac:dyDescent="0.2">
      <c r="A91" s="78" t="s">
        <v>80</v>
      </c>
      <c r="B91" s="68" t="s">
        <v>75</v>
      </c>
      <c r="C91" s="69" t="s">
        <v>73</v>
      </c>
      <c r="D91" s="70">
        <v>46225</v>
      </c>
      <c r="E91" s="69" t="s">
        <v>55</v>
      </c>
      <c r="F91" s="84" t="s">
        <v>230</v>
      </c>
      <c r="G91" s="71">
        <v>22888.35</v>
      </c>
    </row>
    <row r="92" spans="1:19" s="78" customFormat="1" x14ac:dyDescent="0.2">
      <c r="A92" s="78" t="s">
        <v>80</v>
      </c>
      <c r="B92" s="68" t="s">
        <v>75</v>
      </c>
      <c r="C92" s="69" t="s">
        <v>73</v>
      </c>
      <c r="D92" s="70">
        <v>46226</v>
      </c>
      <c r="E92" s="69" t="s">
        <v>69</v>
      </c>
      <c r="F92" s="84" t="s">
        <v>285</v>
      </c>
      <c r="G92" s="71">
        <v>11213.23</v>
      </c>
    </row>
    <row r="93" spans="1:19" s="78" customFormat="1" x14ac:dyDescent="0.2">
      <c r="A93" s="78" t="s">
        <v>80</v>
      </c>
      <c r="B93" s="68" t="s">
        <v>75</v>
      </c>
      <c r="C93" s="69" t="s">
        <v>73</v>
      </c>
      <c r="D93" s="70">
        <v>46231</v>
      </c>
      <c r="E93" s="69" t="s">
        <v>42</v>
      </c>
      <c r="F93" s="84" t="s">
        <v>280</v>
      </c>
      <c r="G93" s="71">
        <v>25611.56</v>
      </c>
    </row>
    <row r="94" spans="1:19" s="78" customFormat="1" x14ac:dyDescent="0.2">
      <c r="A94" s="78" t="s">
        <v>80</v>
      </c>
      <c r="B94" s="68" t="s">
        <v>75</v>
      </c>
      <c r="C94" s="69" t="s">
        <v>73</v>
      </c>
      <c r="D94" s="70">
        <v>46234</v>
      </c>
      <c r="E94" s="69" t="s">
        <v>10</v>
      </c>
      <c r="F94" s="84" t="s">
        <v>273</v>
      </c>
      <c r="G94" s="71">
        <v>13227.94</v>
      </c>
    </row>
    <row r="95" spans="1:19" s="62" customFormat="1" ht="15" x14ac:dyDescent="0.25">
      <c r="A95" s="78" t="s">
        <v>80</v>
      </c>
      <c r="B95" s="68" t="s">
        <v>75</v>
      </c>
      <c r="C95" s="69" t="s">
        <v>73</v>
      </c>
      <c r="D95" s="70">
        <v>46234</v>
      </c>
      <c r="E95" s="69" t="s">
        <v>10</v>
      </c>
      <c r="F95" s="84" t="s">
        <v>289</v>
      </c>
      <c r="G95" s="71">
        <v>13227.94</v>
      </c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</row>
    <row r="96" spans="1:19" s="78" customFormat="1" x14ac:dyDescent="0.2">
      <c r="A96" s="78" t="s">
        <v>80</v>
      </c>
      <c r="B96" s="68" t="s">
        <v>75</v>
      </c>
      <c r="C96" s="69" t="s">
        <v>73</v>
      </c>
      <c r="D96" s="70">
        <v>46234</v>
      </c>
      <c r="E96" s="69" t="s">
        <v>55</v>
      </c>
      <c r="F96" s="84" t="s">
        <v>284</v>
      </c>
      <c r="G96" s="71">
        <v>48781.33</v>
      </c>
    </row>
    <row r="97" spans="1:19" s="62" customFormat="1" ht="15" x14ac:dyDescent="0.25">
      <c r="A97" s="78" t="s">
        <v>80</v>
      </c>
      <c r="B97" s="68" t="s">
        <v>75</v>
      </c>
      <c r="C97" s="69" t="s">
        <v>73</v>
      </c>
      <c r="D97" s="70">
        <v>46231</v>
      </c>
      <c r="E97" s="69" t="s">
        <v>43</v>
      </c>
      <c r="F97" s="93" t="s">
        <v>291</v>
      </c>
      <c r="G97" s="71">
        <v>16744</v>
      </c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</row>
    <row r="98" spans="1:19" s="62" customFormat="1" ht="15" x14ac:dyDescent="0.25">
      <c r="A98" s="78" t="s">
        <v>80</v>
      </c>
      <c r="B98" s="68" t="s">
        <v>75</v>
      </c>
      <c r="C98" s="69" t="s">
        <v>73</v>
      </c>
      <c r="D98" s="70">
        <v>46231</v>
      </c>
      <c r="E98" s="69" t="s">
        <v>43</v>
      </c>
      <c r="F98" s="93" t="s">
        <v>290</v>
      </c>
      <c r="G98" s="71">
        <v>30547.16</v>
      </c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</row>
    <row r="99" spans="1:19" s="62" customFormat="1" ht="15" x14ac:dyDescent="0.25">
      <c r="A99" s="78" t="s">
        <v>80</v>
      </c>
      <c r="B99" s="68" t="s">
        <v>75</v>
      </c>
      <c r="C99" s="69" t="s">
        <v>73</v>
      </c>
      <c r="D99" s="70">
        <v>46234</v>
      </c>
      <c r="E99" s="69" t="s">
        <v>43</v>
      </c>
      <c r="F99" s="93" t="s">
        <v>292</v>
      </c>
      <c r="G99" s="71">
        <v>43548.98</v>
      </c>
      <c r="P99" s="56"/>
      <c r="Q99" s="56"/>
      <c r="R99" s="56"/>
      <c r="S99" s="56"/>
    </row>
    <row r="100" spans="1:19" s="78" customFormat="1" x14ac:dyDescent="0.2">
      <c r="A100" s="78" t="s">
        <v>80</v>
      </c>
      <c r="B100" s="68" t="s">
        <v>75</v>
      </c>
      <c r="C100" s="69" t="s">
        <v>73</v>
      </c>
      <c r="D100" s="70">
        <v>46248</v>
      </c>
      <c r="E100" s="69" t="s">
        <v>43</v>
      </c>
      <c r="F100" s="84" t="s">
        <v>282</v>
      </c>
      <c r="G100" s="71">
        <v>10924.27</v>
      </c>
    </row>
    <row r="101" spans="1:19" s="78" customFormat="1" x14ac:dyDescent="0.2">
      <c r="A101" s="78" t="s">
        <v>80</v>
      </c>
      <c r="B101" s="68" t="s">
        <v>75</v>
      </c>
      <c r="C101" s="69" t="s">
        <v>73</v>
      </c>
      <c r="D101" s="70">
        <v>46252</v>
      </c>
      <c r="E101" s="69" t="s">
        <v>30</v>
      </c>
      <c r="F101" s="84" t="s">
        <v>277</v>
      </c>
      <c r="G101" s="71">
        <v>33065.47</v>
      </c>
    </row>
    <row r="102" spans="1:19" s="78" customFormat="1" x14ac:dyDescent="0.2">
      <c r="A102" s="78" t="s">
        <v>80</v>
      </c>
      <c r="B102" s="68" t="s">
        <v>75</v>
      </c>
      <c r="C102" s="69" t="s">
        <v>73</v>
      </c>
      <c r="D102" s="70">
        <v>46258</v>
      </c>
      <c r="E102" s="69" t="s">
        <v>10</v>
      </c>
      <c r="F102" s="84" t="s">
        <v>274</v>
      </c>
      <c r="G102" s="71">
        <v>13586.34</v>
      </c>
    </row>
    <row r="103" spans="1:19" s="78" customFormat="1" x14ac:dyDescent="0.2">
      <c r="A103" s="78" t="s">
        <v>80</v>
      </c>
      <c r="B103" s="68" t="s">
        <v>75</v>
      </c>
      <c r="C103" s="69" t="s">
        <v>73</v>
      </c>
      <c r="D103" s="70">
        <v>46258</v>
      </c>
      <c r="E103" s="69" t="s">
        <v>10</v>
      </c>
      <c r="F103" s="84" t="s">
        <v>275</v>
      </c>
      <c r="G103" s="71">
        <v>13586.34</v>
      </c>
    </row>
    <row r="104" spans="1:19" s="78" customFormat="1" x14ac:dyDescent="0.2">
      <c r="A104" s="78" t="s">
        <v>80</v>
      </c>
      <c r="B104" s="68" t="s">
        <v>75</v>
      </c>
      <c r="C104" s="69" t="s">
        <v>73</v>
      </c>
      <c r="D104" s="70">
        <v>46258</v>
      </c>
      <c r="E104" s="69" t="s">
        <v>10</v>
      </c>
      <c r="F104" s="84" t="s">
        <v>276</v>
      </c>
      <c r="G104" s="71">
        <v>27127.68</v>
      </c>
    </row>
    <row r="105" spans="1:19" s="78" customFormat="1" x14ac:dyDescent="0.2">
      <c r="A105" s="78" t="s">
        <v>80</v>
      </c>
      <c r="B105" s="68" t="s">
        <v>75</v>
      </c>
      <c r="C105" s="69" t="s">
        <v>73</v>
      </c>
      <c r="D105" s="70">
        <v>46258</v>
      </c>
      <c r="E105" s="69" t="s">
        <v>32</v>
      </c>
      <c r="F105" s="84" t="s">
        <v>278</v>
      </c>
      <c r="G105" s="71">
        <v>28457</v>
      </c>
    </row>
    <row r="106" spans="1:19" s="78" customFormat="1" x14ac:dyDescent="0.2">
      <c r="A106" s="78" t="s">
        <v>80</v>
      </c>
      <c r="B106" s="68" t="s">
        <v>75</v>
      </c>
      <c r="C106" s="69" t="s">
        <v>73</v>
      </c>
      <c r="D106" s="70">
        <v>46261</v>
      </c>
      <c r="E106" s="69" t="s">
        <v>32</v>
      </c>
      <c r="F106" s="84" t="s">
        <v>279</v>
      </c>
      <c r="G106" s="71">
        <v>28825</v>
      </c>
    </row>
    <row r="107" spans="1:19" s="78" customFormat="1" x14ac:dyDescent="0.2">
      <c r="A107" s="78" t="s">
        <v>80</v>
      </c>
      <c r="B107" s="68" t="s">
        <v>75</v>
      </c>
      <c r="C107" s="69" t="s">
        <v>73</v>
      </c>
      <c r="D107" s="70">
        <v>46261</v>
      </c>
      <c r="E107" s="69" t="s">
        <v>42</v>
      </c>
      <c r="F107" s="84" t="s">
        <v>281</v>
      </c>
      <c r="G107" s="71">
        <v>12925.98</v>
      </c>
    </row>
    <row r="108" spans="1:19" s="78" customFormat="1" x14ac:dyDescent="0.2">
      <c r="A108" s="78" t="s">
        <v>80</v>
      </c>
      <c r="B108" s="68" t="s">
        <v>75</v>
      </c>
      <c r="C108" s="69" t="s">
        <v>73</v>
      </c>
      <c r="D108" s="70">
        <v>46262</v>
      </c>
      <c r="E108" s="69" t="s">
        <v>32</v>
      </c>
      <c r="F108" s="84" t="s">
        <v>33</v>
      </c>
      <c r="G108" s="71">
        <v>28628.58</v>
      </c>
    </row>
    <row r="109" spans="1:19" s="78" customFormat="1" x14ac:dyDescent="0.2">
      <c r="A109" s="78" t="s">
        <v>80</v>
      </c>
      <c r="B109" s="68" t="s">
        <v>75</v>
      </c>
      <c r="C109" s="69" t="s">
        <v>73</v>
      </c>
      <c r="D109" s="70">
        <v>46262</v>
      </c>
      <c r="E109" s="69" t="s">
        <v>32</v>
      </c>
      <c r="F109" s="84" t="s">
        <v>34</v>
      </c>
      <c r="G109" s="71">
        <v>29257.599999999999</v>
      </c>
    </row>
    <row r="110" spans="1:19" s="78" customFormat="1" x14ac:dyDescent="0.2">
      <c r="A110" s="78" t="s">
        <v>80</v>
      </c>
      <c r="B110" s="68" t="s">
        <v>75</v>
      </c>
      <c r="C110" s="72" t="s">
        <v>73</v>
      </c>
      <c r="D110" s="70">
        <v>46262</v>
      </c>
      <c r="E110" s="72" t="s">
        <v>52</v>
      </c>
      <c r="F110" s="84" t="s">
        <v>283</v>
      </c>
      <c r="G110" s="73">
        <v>42549.78</v>
      </c>
    </row>
    <row r="111" spans="1:19" s="75" customFormat="1" x14ac:dyDescent="0.2">
      <c r="A111" s="78" t="s">
        <v>80</v>
      </c>
      <c r="B111" s="68" t="s">
        <v>75</v>
      </c>
      <c r="C111" s="69" t="s">
        <v>73</v>
      </c>
      <c r="D111" s="70">
        <v>44069</v>
      </c>
      <c r="E111" s="69" t="s">
        <v>58</v>
      </c>
      <c r="F111" s="84" t="s">
        <v>63</v>
      </c>
      <c r="G111" s="71">
        <v>427967.68</v>
      </c>
    </row>
    <row r="112" spans="1:19" s="75" customFormat="1" x14ac:dyDescent="0.2">
      <c r="A112" s="78" t="s">
        <v>80</v>
      </c>
      <c r="B112" s="68" t="s">
        <v>75</v>
      </c>
      <c r="C112" s="69" t="s">
        <v>73</v>
      </c>
      <c r="D112" s="70">
        <v>44071</v>
      </c>
      <c r="E112" s="69" t="s">
        <v>58</v>
      </c>
      <c r="F112" s="84" t="s">
        <v>64</v>
      </c>
      <c r="G112" s="71">
        <v>93157.440000000002</v>
      </c>
    </row>
    <row r="113" spans="1:7" s="75" customFormat="1" x14ac:dyDescent="0.2">
      <c r="A113" s="78" t="s">
        <v>80</v>
      </c>
      <c r="B113" s="68" t="s">
        <v>75</v>
      </c>
      <c r="C113" s="69" t="s">
        <v>73</v>
      </c>
      <c r="D113" s="70">
        <v>44117</v>
      </c>
      <c r="E113" s="69" t="s">
        <v>58</v>
      </c>
      <c r="F113" s="84" t="s">
        <v>59</v>
      </c>
      <c r="G113" s="71">
        <v>134758.81</v>
      </c>
    </row>
    <row r="114" spans="1:7" s="75" customFormat="1" x14ac:dyDescent="0.2">
      <c r="A114" s="78" t="s">
        <v>80</v>
      </c>
      <c r="B114" s="68" t="s">
        <v>75</v>
      </c>
      <c r="C114" s="69" t="s">
        <v>73</v>
      </c>
      <c r="D114" s="70">
        <v>44117</v>
      </c>
      <c r="E114" s="69" t="s">
        <v>58</v>
      </c>
      <c r="F114" s="84" t="s">
        <v>65</v>
      </c>
      <c r="G114" s="71">
        <v>132450.34</v>
      </c>
    </row>
    <row r="115" spans="1:7" s="75" customFormat="1" x14ac:dyDescent="0.2">
      <c r="A115" s="78" t="s">
        <v>80</v>
      </c>
      <c r="B115" s="68" t="s">
        <v>75</v>
      </c>
      <c r="C115" s="69" t="s">
        <v>73</v>
      </c>
      <c r="D115" s="70">
        <v>44117</v>
      </c>
      <c r="E115" s="69" t="s">
        <v>58</v>
      </c>
      <c r="F115" s="84" t="s">
        <v>66</v>
      </c>
      <c r="G115" s="71">
        <v>163663.5</v>
      </c>
    </row>
    <row r="116" spans="1:7" s="75" customFormat="1" x14ac:dyDescent="0.2">
      <c r="A116" s="78" t="s">
        <v>80</v>
      </c>
      <c r="B116" s="68" t="s">
        <v>75</v>
      </c>
      <c r="C116" s="69" t="s">
        <v>73</v>
      </c>
      <c r="D116" s="70">
        <v>44159</v>
      </c>
      <c r="E116" s="69" t="s">
        <v>58</v>
      </c>
      <c r="F116" s="84" t="s">
        <v>60</v>
      </c>
      <c r="G116" s="71">
        <v>20446</v>
      </c>
    </row>
    <row r="117" spans="1:7" s="75" customFormat="1" x14ac:dyDescent="0.2">
      <c r="A117" s="78" t="s">
        <v>80</v>
      </c>
      <c r="B117" s="68" t="s">
        <v>75</v>
      </c>
      <c r="C117" s="69" t="s">
        <v>73</v>
      </c>
      <c r="D117" s="70">
        <v>44244</v>
      </c>
      <c r="E117" s="69" t="s">
        <v>58</v>
      </c>
      <c r="F117" s="84" t="s">
        <v>61</v>
      </c>
      <c r="G117" s="71">
        <v>73294.06</v>
      </c>
    </row>
    <row r="118" spans="1:7" s="75" customFormat="1" x14ac:dyDescent="0.2">
      <c r="A118" s="78" t="s">
        <v>80</v>
      </c>
      <c r="B118" s="68" t="s">
        <v>75</v>
      </c>
      <c r="C118" s="69" t="s">
        <v>73</v>
      </c>
      <c r="D118" s="70">
        <v>44279</v>
      </c>
      <c r="E118" s="69" t="s">
        <v>58</v>
      </c>
      <c r="F118" s="84" t="s">
        <v>62</v>
      </c>
      <c r="G118" s="71">
        <v>41021.93</v>
      </c>
    </row>
    <row r="119" spans="1:7" x14ac:dyDescent="0.2">
      <c r="B119" s="4"/>
      <c r="C119" s="10"/>
      <c r="D119" s="14"/>
      <c r="E119" s="10"/>
      <c r="F119" s="87"/>
      <c r="G119" s="5"/>
    </row>
    <row r="120" spans="1:7" x14ac:dyDescent="0.2">
      <c r="G120" s="79">
        <f>SUM(G3:G119)</f>
        <v>12160953.712308003</v>
      </c>
    </row>
  </sheetData>
  <sortState ref="A4:S24">
    <sortCondition ref="E4:E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AR-TRADE</vt:lpstr>
      <vt:lpstr>AR-REIM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</dc:creator>
  <cp:lastModifiedBy>Juliet</cp:lastModifiedBy>
  <dcterms:created xsi:type="dcterms:W3CDTF">2026-09-17T03:16:18Z</dcterms:created>
  <dcterms:modified xsi:type="dcterms:W3CDTF">2026-09-17T09:26:28Z</dcterms:modified>
</cp:coreProperties>
</file>